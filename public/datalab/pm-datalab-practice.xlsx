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Projects" sheetId="2" state="visible" r:id="rId4"/>
    <sheet name="Tasks" sheetId="3" state="visible" r:id="rId5"/>
    <sheet name="Resources" sheetId="4" state="visible" r:id="rId6"/>
    <sheet name="Risks" sheetId="5" state="visible" r:id="rId7"/>
    <sheet name="Exercises" sheetId="6" state="visible" r:id="rId8"/>
    <sheet name="Answers" sheetId="7" state="visible" r:id="rId9"/>
    <sheet name="Projects (solved)" sheetId="8" state="visible" r:id="rId10"/>
    <sheet name="Tasks (solved)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3" authorId="0">
      <text>
        <r>
          <rPr>
            <sz val="10"/>
            <rFont val="Arial"/>
            <family val="2"/>
          </rPr>
          <t xml:space="preserve">Exercise 12: Count in-progress projects</t>
        </r>
      </text>
    </comment>
    <comment ref="B14" authorId="0">
      <text>
        <r>
          <rPr>
            <sz val="10"/>
            <rFont val="Arial"/>
            <family val="2"/>
          </rPr>
          <t xml:space="preserve">Exercise 13: Budget of high-priority projects</t>
        </r>
      </text>
    </comment>
    <comment ref="B15" authorId="0">
      <text>
        <r>
          <rPr>
            <sz val="10"/>
            <rFont val="Arial"/>
            <family val="2"/>
          </rPr>
          <t xml:space="preserve">Exercise 14: Portfolio CPI</t>
        </r>
      </text>
    </comment>
    <comment ref="B16" authorId="0">
      <text>
        <r>
          <rPr>
            <sz val="10"/>
            <rFont val="Arial"/>
            <family val="2"/>
          </rPr>
          <t xml:space="preserve">Exercise 15: Blocked tasks</t>
        </r>
      </text>
    </comment>
    <comment ref="B17" authorId="0">
      <text>
        <r>
          <rPr>
            <sz val="10"/>
            <rFont val="Arial"/>
            <family val="2"/>
          </rPr>
          <t xml:space="preserve">Exercise 16: Planned hours for one project</t>
        </r>
      </text>
    </comment>
    <comment ref="B18" authorId="0">
      <text>
        <r>
          <rPr>
            <sz val="10"/>
            <rFont val="Arial"/>
            <family val="2"/>
          </rPr>
          <t xml:space="preserve">Exercise 17: Done tasks in a project</t>
        </r>
      </text>
    </comment>
    <comment ref="B19" authorId="0">
      <text>
        <r>
          <rPr>
            <sz val="10"/>
            <rFont val="Arial"/>
            <family val="2"/>
          </rPr>
          <t xml:space="preserve">Exercise 18: Project with the largest budget</t>
        </r>
      </text>
    </comment>
    <comment ref="G11" authorId="0">
      <text>
        <r>
          <rPr>
            <sz val="10"/>
            <rFont val="Arial"/>
            <family val="2"/>
          </rPr>
          <t xml:space="preserve">Exercise 9: Total budget</t>
        </r>
      </text>
    </comment>
    <comment ref="H11" authorId="0">
      <text>
        <r>
          <rPr>
            <sz val="10"/>
            <rFont val="Arial"/>
            <family val="2"/>
          </rPr>
          <t xml:space="preserve">Exercise 10: Total actual cost</t>
        </r>
      </text>
    </comment>
    <comment ref="I11" authorId="0">
      <text>
        <r>
          <rPr>
            <sz val="10"/>
            <rFont val="Arial"/>
            <family val="2"/>
          </rPr>
          <t xml:space="preserve">Exercise 11: Average % complete</t>
        </r>
      </text>
    </comment>
    <comment ref="L2" authorId="0">
      <text>
        <r>
          <rPr>
            <sz val="10"/>
            <rFont val="Arial"/>
            <family val="2"/>
          </rPr>
          <t xml:space="preserve">Exercise 1: Earned value (EV)</t>
        </r>
      </text>
    </comment>
    <comment ref="M2" authorId="0">
      <text>
        <r>
          <rPr>
            <sz val="10"/>
            <rFont val="Arial"/>
            <family val="2"/>
          </rPr>
          <t xml:space="preserve">Exercise 2: Planned value (PV)</t>
        </r>
      </text>
    </comment>
    <comment ref="N2" authorId="0">
      <text>
        <r>
          <rPr>
            <sz val="10"/>
            <rFont val="Arial"/>
            <family val="2"/>
          </rPr>
          <t xml:space="preserve">Exercise 3: Cost variance (CV)</t>
        </r>
      </text>
    </comment>
    <comment ref="O2" authorId="0">
      <text>
        <r>
          <rPr>
            <sz val="10"/>
            <rFont val="Arial"/>
            <family val="2"/>
          </rPr>
          <t xml:space="preserve">Exercise 4: CPI with IFERROR</t>
        </r>
      </text>
    </comment>
    <comment ref="P2" authorId="0">
      <text>
        <r>
          <rPr>
            <sz val="10"/>
            <rFont val="Arial"/>
            <family val="2"/>
          </rPr>
          <t xml:space="preserve">Exercise 5: Schedule performance (SPI)</t>
        </r>
      </text>
    </comment>
    <comment ref="Q2" authorId="0">
      <text>
        <r>
          <rPr>
            <sz val="10"/>
            <rFont val="Arial"/>
            <family val="2"/>
          </rPr>
          <t xml:space="preserve">Exercise 6: RAG status</t>
        </r>
      </text>
    </comment>
    <comment ref="R2" authorId="0">
      <text>
        <r>
          <rPr>
            <sz val="10"/>
            <rFont val="Arial"/>
            <family val="2"/>
          </rPr>
          <t xml:space="preserve">Exercise 7: Budget check</t>
        </r>
      </text>
    </comment>
    <comment ref="S2" authorId="0">
      <text>
        <r>
          <rPr>
            <sz val="10"/>
            <rFont val="Arial"/>
            <family val="2"/>
          </rPr>
          <t xml:space="preserve">Exercise 8: Manager name lookup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I2" authorId="0">
      <text>
        <r>
          <rPr>
            <sz val="10"/>
            <rFont val="Arial"/>
            <family val="2"/>
          </rPr>
          <t xml:space="preserve">Exercise 19: Hours variance %</t>
        </r>
      </text>
    </comment>
    <comment ref="J2" authorId="0">
      <text>
        <r>
          <rPr>
            <sz val="10"/>
            <rFont val="Arial"/>
            <family val="2"/>
          </rPr>
          <t xml:space="preserve">Exercise 20: Labour cost per task</t>
        </r>
      </text>
    </comment>
  </commentList>
</comments>
</file>

<file path=xl/sharedStrings.xml><?xml version="1.0" encoding="utf-8"?>
<sst xmlns="http://schemas.openxmlformats.org/spreadsheetml/2006/main" count="824" uniqueCount="312">
  <si>
    <t xml:space="preserve">PM DataLab: Excel practice workbook</t>
  </si>
  <si>
    <t xml:space="preserve">Fictional company "Prairie Logistics". All names and figures are invented for practice.</t>
  </si>
  <si>
    <t xml:space="preserve">How to use this workbook</t>
  </si>
  <si>
    <t xml:space="preserve">1. Read an exercise on the Exercises sheet.</t>
  </si>
  <si>
    <t xml:space="preserve">2. Go to the sheet and cell it names. Yellow cells are where your formulas go.</t>
  </si>
  <si>
    <t xml:space="preserve">3. Where an exercise says "fill down", write the formula in the first row and copy it down to the last yellow row.</t>
  </si>
  <si>
    <t xml:space="preserve">4. Compare with the Answers sheet, or the green cells on "Projects (solved)" and "Tasks (solved)".</t>
  </si>
  <si>
    <t xml:space="preserve">Legend</t>
  </si>
  <si>
    <t xml:space="preserve">Yellow cell = your input (formula goes here)</t>
  </si>
  <si>
    <t xml:space="preserve">Green cell = model answer (formula)</t>
  </si>
  <si>
    <t xml:space="preserve">Online version with instant checking: https://pmport.ca/pm-datalab/excel</t>
  </si>
  <si>
    <t xml:space="preserve">Project ID</t>
  </si>
  <si>
    <t xml:space="preserve">Project</t>
  </si>
  <si>
    <t xml:space="preserve">Department</t>
  </si>
  <si>
    <t xml:space="preserve">Manager ID</t>
  </si>
  <si>
    <t xml:space="preserve">Status</t>
  </si>
  <si>
    <t xml:space="preserve">Priority</t>
  </si>
  <si>
    <t xml:space="preserve">Budget (BAC)</t>
  </si>
  <si>
    <t xml:space="preserve">Actual Cost (AC)</t>
  </si>
  <si>
    <t xml:space="preserve">% Complete</t>
  </si>
  <si>
    <t xml:space="preserve">Planned %</t>
  </si>
  <si>
    <t xml:space="preserve">EV</t>
  </si>
  <si>
    <t xml:space="preserve">PV</t>
  </si>
  <si>
    <t xml:space="preserve">CV</t>
  </si>
  <si>
    <t xml:space="preserve">CPI</t>
  </si>
  <si>
    <t xml:space="preserve">SPI</t>
  </si>
  <si>
    <t xml:space="preserve">RAG</t>
  </si>
  <si>
    <t xml:space="preserve">Budget check</t>
  </si>
  <si>
    <t xml:space="preserve">Manager</t>
  </si>
  <si>
    <t xml:space="preserve">P01</t>
  </si>
  <si>
    <t xml:space="preserve">CRM Upgrade</t>
  </si>
  <si>
    <t xml:space="preserve">IT</t>
  </si>
  <si>
    <t xml:space="preserve">R01</t>
  </si>
  <si>
    <t xml:space="preserve">In Progress</t>
  </si>
  <si>
    <t xml:space="preserve">High</t>
  </si>
  <si>
    <t xml:space="preserve">P02</t>
  </si>
  <si>
    <t xml:space="preserve">Data Warehouse Migration</t>
  </si>
  <si>
    <t xml:space="preserve">R02</t>
  </si>
  <si>
    <t xml:space="preserve">P03</t>
  </si>
  <si>
    <t xml:space="preserve">HR Self-Service Portal</t>
  </si>
  <si>
    <t xml:space="preserve">HR</t>
  </si>
  <si>
    <t xml:space="preserve">R03</t>
  </si>
  <si>
    <t xml:space="preserve">Completed</t>
  </si>
  <si>
    <t xml:space="preserve">Medium</t>
  </si>
  <si>
    <t xml:space="preserve">P04</t>
  </si>
  <si>
    <t xml:space="preserve">Warehouse Automation</t>
  </si>
  <si>
    <t xml:space="preserve">Operations</t>
  </si>
  <si>
    <t xml:space="preserve">P05</t>
  </si>
  <si>
    <t xml:space="preserve">Customer Feedback Analytics</t>
  </si>
  <si>
    <t xml:space="preserve">Marketing</t>
  </si>
  <si>
    <t xml:space="preserve">R04</t>
  </si>
  <si>
    <t xml:space="preserve">P06</t>
  </si>
  <si>
    <t xml:space="preserve">Office Relocation</t>
  </si>
  <si>
    <t xml:space="preserve">Facilities</t>
  </si>
  <si>
    <t xml:space="preserve">R05</t>
  </si>
  <si>
    <t xml:space="preserve">At Risk</t>
  </si>
  <si>
    <t xml:space="preserve">P07</t>
  </si>
  <si>
    <t xml:space="preserve">Cybersecurity Training</t>
  </si>
  <si>
    <t xml:space="preserve">Not Started</t>
  </si>
  <si>
    <t xml:space="preserve">Low</t>
  </si>
  <si>
    <t xml:space="preserve">P08</t>
  </si>
  <si>
    <t xml:space="preserve">Budget Planning Tool</t>
  </si>
  <si>
    <t xml:space="preserve">Finance</t>
  </si>
  <si>
    <t xml:space="preserve">Total</t>
  </si>
  <si>
    <t xml:space="preserve">In-progress projects</t>
  </si>
  <si>
    <t xml:space="preserve">High-priority budget</t>
  </si>
  <si>
    <t xml:space="preserve">Portfolio CPI</t>
  </si>
  <si>
    <t xml:space="preserve">Blocked tasks</t>
  </si>
  <si>
    <t xml:space="preserve">P04 planned hours</t>
  </si>
  <si>
    <t xml:space="preserve">P01 tasks done</t>
  </si>
  <si>
    <t xml:space="preserve">Largest project</t>
  </si>
  <si>
    <t xml:space="preserve">Task ID</t>
  </si>
  <si>
    <t xml:space="preserve">Task</t>
  </si>
  <si>
    <t xml:space="preserve">Phase</t>
  </si>
  <si>
    <t xml:space="preserve">Planned Hours</t>
  </si>
  <si>
    <t xml:space="preserve">Actual Hours</t>
  </si>
  <si>
    <t xml:space="preserve">Owner ID</t>
  </si>
  <si>
    <t xml:space="preserve">Hours variance %</t>
  </si>
  <si>
    <t xml:space="preserve">Labour cost</t>
  </si>
  <si>
    <t xml:space="preserve">T01</t>
  </si>
  <si>
    <t xml:space="preserve">Gather CRM requirements</t>
  </si>
  <si>
    <t xml:space="preserve">Planning</t>
  </si>
  <si>
    <t xml:space="preserve">Done</t>
  </si>
  <si>
    <t xml:space="preserve">R06</t>
  </si>
  <si>
    <t xml:space="preserve">T02</t>
  </si>
  <si>
    <t xml:space="preserve">Configure CRM modules</t>
  </si>
  <si>
    <t xml:space="preserve">Execution</t>
  </si>
  <si>
    <t xml:space="preserve">R08</t>
  </si>
  <si>
    <t xml:space="preserve">T03</t>
  </si>
  <si>
    <t xml:space="preserve">Migrate customer data</t>
  </si>
  <si>
    <t xml:space="preserve">R07</t>
  </si>
  <si>
    <t xml:space="preserve">T04</t>
  </si>
  <si>
    <t xml:space="preserve">User acceptance testing</t>
  </si>
  <si>
    <t xml:space="preserve">Testing</t>
  </si>
  <si>
    <t xml:space="preserve">R09</t>
  </si>
  <si>
    <t xml:space="preserve">T05</t>
  </si>
  <si>
    <t xml:space="preserve">Train sales team</t>
  </si>
  <si>
    <t xml:space="preserve">Closing</t>
  </si>
  <si>
    <t xml:space="preserve">T06</t>
  </si>
  <si>
    <t xml:space="preserve">Assess source systems</t>
  </si>
  <si>
    <t xml:space="preserve">T07</t>
  </si>
  <si>
    <t xml:space="preserve">Design warehouse model</t>
  </si>
  <si>
    <t xml:space="preserve">T08</t>
  </si>
  <si>
    <t xml:space="preserve">Build ETL pipelines</t>
  </si>
  <si>
    <t xml:space="preserve">T09</t>
  </si>
  <si>
    <t xml:space="preserve">Build Power BI reports</t>
  </si>
  <si>
    <t xml:space="preserve">R10</t>
  </si>
  <si>
    <t xml:space="preserve">T10</t>
  </si>
  <si>
    <t xml:space="preserve">Data validation</t>
  </si>
  <si>
    <t xml:space="preserve">T11</t>
  </si>
  <si>
    <t xml:space="preserve">Map HR processes</t>
  </si>
  <si>
    <t xml:space="preserve">T12</t>
  </si>
  <si>
    <t xml:space="preserve">Build portal</t>
  </si>
  <si>
    <t xml:space="preserve">T13</t>
  </si>
  <si>
    <t xml:space="preserve">Test and launch portal</t>
  </si>
  <si>
    <t xml:space="preserve">T14</t>
  </si>
  <si>
    <t xml:space="preserve">Vendor selection</t>
  </si>
  <si>
    <t xml:space="preserve">T15</t>
  </si>
  <si>
    <t xml:space="preserve">Install conveyor system</t>
  </si>
  <si>
    <t xml:space="preserve">T16</t>
  </si>
  <si>
    <t xml:space="preserve">Integrate warehouse software</t>
  </si>
  <si>
    <t xml:space="preserve">Blocked</t>
  </si>
  <si>
    <t xml:space="preserve">T17</t>
  </si>
  <si>
    <t xml:space="preserve">Safety certification</t>
  </si>
  <si>
    <t xml:space="preserve">T18</t>
  </si>
  <si>
    <t xml:space="preserve">Go-live and handover</t>
  </si>
  <si>
    <t xml:space="preserve">T19</t>
  </si>
  <si>
    <t xml:space="preserve">Define feedback KPIs</t>
  </si>
  <si>
    <t xml:space="preserve">T20</t>
  </si>
  <si>
    <t xml:space="preserve">Build survey data pipeline</t>
  </si>
  <si>
    <t xml:space="preserve">T21</t>
  </si>
  <si>
    <t xml:space="preserve">Sentiment dashboard</t>
  </si>
  <si>
    <t xml:space="preserve">T22</t>
  </si>
  <si>
    <t xml:space="preserve">Present insights</t>
  </si>
  <si>
    <t xml:space="preserve">T23</t>
  </si>
  <si>
    <t xml:space="preserve">Find new office space</t>
  </si>
  <si>
    <t xml:space="preserve">T24</t>
  </si>
  <si>
    <t xml:space="preserve">Fit-out and furniture</t>
  </si>
  <si>
    <t xml:space="preserve">T25</t>
  </si>
  <si>
    <t xml:space="preserve">Move IT equipment</t>
  </si>
  <si>
    <t xml:space="preserve">T26</t>
  </si>
  <si>
    <t xml:space="preserve">Staff move and closeout</t>
  </si>
  <si>
    <t xml:space="preserve">T27</t>
  </si>
  <si>
    <t xml:space="preserve">Design training content</t>
  </si>
  <si>
    <t xml:space="preserve">T28</t>
  </si>
  <si>
    <t xml:space="preserve">Deliver training sessions</t>
  </si>
  <si>
    <t xml:space="preserve">T29</t>
  </si>
  <si>
    <t xml:space="preserve">Gather budget requirements</t>
  </si>
  <si>
    <t xml:space="preserve">T30</t>
  </si>
  <si>
    <t xml:space="preserve">Build budget tool</t>
  </si>
  <si>
    <t xml:space="preserve">T31</t>
  </si>
  <si>
    <t xml:space="preserve">Finance team rollout</t>
  </si>
  <si>
    <t xml:space="preserve">Resource ID</t>
  </si>
  <si>
    <t xml:space="preserve">Name</t>
  </si>
  <si>
    <t xml:space="preserve">Role</t>
  </si>
  <si>
    <t xml:space="preserve">Hourly Rate</t>
  </si>
  <si>
    <t xml:space="preserve">Aisha Khan</t>
  </si>
  <si>
    <t xml:space="preserve">Project Manager</t>
  </si>
  <si>
    <t xml:space="preserve">PMO</t>
  </si>
  <si>
    <t xml:space="preserve">Daniel Wong</t>
  </si>
  <si>
    <t xml:space="preserve">Maria Lopez</t>
  </si>
  <si>
    <t xml:space="preserve">Priya Patel</t>
  </si>
  <si>
    <t xml:space="preserve">Tom Becker</t>
  </si>
  <si>
    <t xml:space="preserve">Project Coordinator</t>
  </si>
  <si>
    <t xml:space="preserve">Leila Haddad</t>
  </si>
  <si>
    <t xml:space="preserve">Business Analyst</t>
  </si>
  <si>
    <t xml:space="preserve">Jonas Meyer</t>
  </si>
  <si>
    <t xml:space="preserve">Data Engineer</t>
  </si>
  <si>
    <t xml:space="preserve">Grace Kim</t>
  </si>
  <si>
    <t xml:space="preserve">Developer</t>
  </si>
  <si>
    <t xml:space="preserve">Omar Siddiqui</t>
  </si>
  <si>
    <t xml:space="preserve">QA Analyst</t>
  </si>
  <si>
    <t xml:space="preserve">Chloe Martin</t>
  </si>
  <si>
    <t xml:space="preserve">Data Analyst</t>
  </si>
  <si>
    <t xml:space="preserve">Risk ID</t>
  </si>
  <si>
    <t xml:space="preserve">Description</t>
  </si>
  <si>
    <t xml:space="preserve">Probability</t>
  </si>
  <si>
    <t xml:space="preserve">Impact Cost</t>
  </si>
  <si>
    <t xml:space="preserve">K01</t>
  </si>
  <si>
    <t xml:space="preserve">Data quality issues delay migration</t>
  </si>
  <si>
    <t xml:space="preserve">Open</t>
  </si>
  <si>
    <t xml:space="preserve">K02</t>
  </si>
  <si>
    <t xml:space="preserve">Sales team resists new CRM</t>
  </si>
  <si>
    <t xml:space="preserve">K03</t>
  </si>
  <si>
    <t xml:space="preserve">Source system access delayed</t>
  </si>
  <si>
    <t xml:space="preserve">K04</t>
  </si>
  <si>
    <t xml:space="preserve">ETL performance below target</t>
  </si>
  <si>
    <t xml:space="preserve">K05</t>
  </si>
  <si>
    <t xml:space="preserve">Payroll integration defects</t>
  </si>
  <si>
    <t xml:space="preserve">Closed</t>
  </si>
  <si>
    <t xml:space="preserve">K06</t>
  </si>
  <si>
    <t xml:space="preserve">Conveyor delivery delayed by supplier</t>
  </si>
  <si>
    <t xml:space="preserve">K07</t>
  </si>
  <si>
    <t xml:space="preserve">Software integration vendor unavailable</t>
  </si>
  <si>
    <t xml:space="preserve">K08</t>
  </si>
  <si>
    <t xml:space="preserve">Low survey response rate</t>
  </si>
  <si>
    <t xml:space="preserve">K09</t>
  </si>
  <si>
    <t xml:space="preserve">Lease signing delayed</t>
  </si>
  <si>
    <t xml:space="preserve">K10</t>
  </si>
  <si>
    <t xml:space="preserve">Furniture supplier backorder</t>
  </si>
  <si>
    <t xml:space="preserve">K11</t>
  </si>
  <si>
    <t xml:space="preserve">Low training attendance</t>
  </si>
  <si>
    <t xml:space="preserve">K12</t>
  </si>
  <si>
    <t xml:space="preserve">Finance users reject new tool</t>
  </si>
  <si>
    <t xml:space="preserve">#</t>
  </si>
  <si>
    <t xml:space="preserve">Exercise</t>
  </si>
  <si>
    <t xml:space="preserve">Sheet</t>
  </si>
  <si>
    <t xml:space="preserve">Cell</t>
  </si>
  <si>
    <t xml:space="preserve">Fill down to</t>
  </si>
  <si>
    <t xml:space="preserve">Instructions</t>
  </si>
  <si>
    <t xml:space="preserve">Earned value (EV)</t>
  </si>
  <si>
    <t xml:space="preserve">Projects</t>
  </si>
  <si>
    <t xml:space="preserve">L2</t>
  </si>
  <si>
    <t xml:space="preserve">row 9</t>
  </si>
  <si>
    <t xml:space="preserve">In L2, calculate Earned Value for the first project: EV = Budget × % Complete. Your formula must still work when filled down to row 9.</t>
  </si>
  <si>
    <t xml:space="preserve">Planned value (PV)</t>
  </si>
  <si>
    <t xml:space="preserve">M2</t>
  </si>
  <si>
    <t xml:space="preserve">In M2, calculate Planned Value: PV = Budget × Planned %. It must work when filled down.</t>
  </si>
  <si>
    <t xml:space="preserve">Cost variance (CV)</t>
  </si>
  <si>
    <t xml:space="preserve">N2</t>
  </si>
  <si>
    <t xml:space="preserve">In N2, calculate Cost Variance: CV = EV − AC. Calculate EV inside the formula (do not refer to L2). Negative means over budget.</t>
  </si>
  <si>
    <t xml:space="preserve">CPI with IFERROR</t>
  </si>
  <si>
    <t xml:space="preserve">O2</t>
  </si>
  <si>
    <t xml:space="preserve">In O2, calculate the Cost Performance Index: CPI = EV ÷ AC. One project has no cost yet, which causes a #DIV/0! error. Wrap the formula so it shows 0 instead.</t>
  </si>
  <si>
    <t xml:space="preserve">Schedule performance (SPI)</t>
  </si>
  <si>
    <t xml:space="preserve">P2</t>
  </si>
  <si>
    <t xml:space="preserve">In P2, calculate SPI = EV ÷ PV, which simplifies to % Complete ÷ Planned %. If Planned % is 0, show 1.</t>
  </si>
  <si>
    <t xml:space="preserve">RAG status</t>
  </si>
  <si>
    <t xml:space="preserve">Q2</t>
  </si>
  <si>
    <t xml:space="preserve">In Q2, return a RAG status from SPI: "Green" if Planned % is 0 or SPI ≥ 0.95, "Amber" if SPI ≥ 0.85, otherwise "Red".</t>
  </si>
  <si>
    <t xml:space="preserve">R2</t>
  </si>
  <si>
    <t xml:space="preserve">In R2, show "Over budget" when Actual Cost is greater than Budget, otherwise "Within budget".</t>
  </si>
  <si>
    <t xml:space="preserve">Manager name lookup</t>
  </si>
  <si>
    <t xml:space="preserve">S2</t>
  </si>
  <si>
    <t xml:space="preserve">In S2, look up the manager's name from the Resources sheet (Resources!A2:E11) using the Manager ID in D2. Lock the lookup range with $ so it does not move when filled down.</t>
  </si>
  <si>
    <t xml:space="preserve">Total budget</t>
  </si>
  <si>
    <t xml:space="preserve">G11</t>
  </si>
  <si>
    <t xml:space="preserve">In G11, add up the budgets of all eight projects (G2 to G9).</t>
  </si>
  <si>
    <t xml:space="preserve">Total actual cost</t>
  </si>
  <si>
    <t xml:space="preserve">H11</t>
  </si>
  <si>
    <t xml:space="preserve">In H11, add up the actual cost of all projects.</t>
  </si>
  <si>
    <t xml:space="preserve">Average % complete</t>
  </si>
  <si>
    <t xml:space="preserve">I11</t>
  </si>
  <si>
    <t xml:space="preserve">In I11, calculate the average % complete across the projects.</t>
  </si>
  <si>
    <t xml:space="preserve">Count in-progress projects</t>
  </si>
  <si>
    <t xml:space="preserve">B13</t>
  </si>
  <si>
    <t xml:space="preserve">In B13, count how many projects have the status "In Progress".</t>
  </si>
  <si>
    <t xml:space="preserve">Budget of high-priority projects</t>
  </si>
  <si>
    <t xml:space="preserve">B14</t>
  </si>
  <si>
    <t xml:space="preserve">In B14, add up the budget of projects whose priority is "High".</t>
  </si>
  <si>
    <t xml:space="preserve">B15</t>
  </si>
  <si>
    <t xml:space="preserve">In B15, calculate the CPI of the whole portfolio: total EV ÷ total AC. Total EV is the sum of Budget × % Complete for every project, in one formula.</t>
  </si>
  <si>
    <t xml:space="preserve">B16</t>
  </si>
  <si>
    <t xml:space="preserve">In B16, count the tasks on the Tasks sheet with status "Blocked" (Tasks!G2:G32).</t>
  </si>
  <si>
    <t xml:space="preserve">Planned hours for one project</t>
  </si>
  <si>
    <t xml:space="preserve">B17</t>
  </si>
  <si>
    <t xml:space="preserve">In B17, add up the planned hours (Tasks!E2:E32) of all tasks for project "P04" (Tasks!B2:B32).</t>
  </si>
  <si>
    <t xml:space="preserve">Done tasks in a project</t>
  </si>
  <si>
    <t xml:space="preserve">B18</t>
  </si>
  <si>
    <t xml:space="preserve">In B18, count tasks that belong to project "P01" and have status "Done".</t>
  </si>
  <si>
    <t xml:space="preserve">Project with the largest budget</t>
  </si>
  <si>
    <t xml:space="preserve">B19</t>
  </si>
  <si>
    <t xml:space="preserve">In B19, return the name of the project with the largest budget, using INDEX and MATCH (no typing the name).</t>
  </si>
  <si>
    <t xml:space="preserve">Tasks</t>
  </si>
  <si>
    <t xml:space="preserve">I2</t>
  </si>
  <si>
    <t xml:space="preserve">row 32</t>
  </si>
  <si>
    <t xml:space="preserve">On the Tasks sheet, in I2, calculate the hours variance as a fraction: (Actual Hours − Planned Hours) ÷ Planned Hours. It must work when filled down to row 32.</t>
  </si>
  <si>
    <t xml:space="preserve">Labour cost per task</t>
  </si>
  <si>
    <t xml:space="preserve">J2</t>
  </si>
  <si>
    <t xml:space="preserve">On the Tasks sheet, in J2, calculate labour cost: Actual Hours × the owner's hourly rate, looked up from Resources (rate is column 5 of Resources!A2:E11).</t>
  </si>
  <si>
    <t xml:space="preserve">Model formula (type = first)</t>
  </si>
  <si>
    <t xml:space="preserve">Projects!L2</t>
  </si>
  <si>
    <t xml:space="preserve">G2*I2</t>
  </si>
  <si>
    <t xml:space="preserve">Projects!M2</t>
  </si>
  <si>
    <t xml:space="preserve">G2*J2</t>
  </si>
  <si>
    <t xml:space="preserve">Projects!N2</t>
  </si>
  <si>
    <t xml:space="preserve">G2*I2-H2</t>
  </si>
  <si>
    <t xml:space="preserve">Projects!O2</t>
  </si>
  <si>
    <t xml:space="preserve">IFERROR(G2*I2/H2,0)</t>
  </si>
  <si>
    <t xml:space="preserve">Projects!P2</t>
  </si>
  <si>
    <t xml:space="preserve">IF(J2=0,1,I2/J2)</t>
  </si>
  <si>
    <t xml:space="preserve">Projects!Q2</t>
  </si>
  <si>
    <t xml:space="preserve">IF(J2=0,"Green",IF(I2/J2&gt;=0.95,"Green",IF(I2/J2&gt;=0.85,"Amber","Red")))</t>
  </si>
  <si>
    <t xml:space="preserve">Projects!R2</t>
  </si>
  <si>
    <t xml:space="preserve">IF(H2&gt;G2,"Over budget","Within budget")</t>
  </si>
  <si>
    <t xml:space="preserve">Projects!S2</t>
  </si>
  <si>
    <t xml:space="preserve">VLOOKUP(D2,Resources!$A$2:$E$11,2,FALSE)</t>
  </si>
  <si>
    <t xml:space="preserve">Projects!G11</t>
  </si>
  <si>
    <t xml:space="preserve">SUM(G2:G9)</t>
  </si>
  <si>
    <t xml:space="preserve">Projects!H11</t>
  </si>
  <si>
    <t xml:space="preserve">SUM(H2:H9)</t>
  </si>
  <si>
    <t xml:space="preserve">Projects!I11</t>
  </si>
  <si>
    <t xml:space="preserve">AVERAGE(I2:I9)</t>
  </si>
  <si>
    <t xml:space="preserve">Projects!B13</t>
  </si>
  <si>
    <t xml:space="preserve">COUNTIF(E2:E9,"In Progress")</t>
  </si>
  <si>
    <t xml:space="preserve">Projects!B14</t>
  </si>
  <si>
    <t xml:space="preserve">SUMIF(F2:F9,"High",G2:G9)</t>
  </si>
  <si>
    <t xml:space="preserve">Projects!B15</t>
  </si>
  <si>
    <t xml:space="preserve">SUMPRODUCT(G2:G9,I2:I9)/SUM(H2:H9)</t>
  </si>
  <si>
    <t xml:space="preserve">Projects!B16</t>
  </si>
  <si>
    <t xml:space="preserve">COUNTIF(Tasks!G2:G32,"Blocked")</t>
  </si>
  <si>
    <t xml:space="preserve">Projects!B17</t>
  </si>
  <si>
    <t xml:space="preserve">SUMIFS(Tasks!E2:E32,Tasks!B2:B32,"P04")</t>
  </si>
  <si>
    <t xml:space="preserve">Projects!B18</t>
  </si>
  <si>
    <t xml:space="preserve">COUNTIFS(Tasks!B2:B32,"P01",Tasks!G2:G32,"Done")</t>
  </si>
  <si>
    <t xml:space="preserve">Projects!B19</t>
  </si>
  <si>
    <t xml:space="preserve">INDEX(B2:B9,MATCH(MAX(G2:G9),G2:G9,0))</t>
  </si>
  <si>
    <t xml:space="preserve">Tasks!I2</t>
  </si>
  <si>
    <t xml:space="preserve">(F2-E2)/E2</t>
  </si>
  <si>
    <t xml:space="preserve">Tasks!J2</t>
  </si>
  <si>
    <t xml:space="preserve">F2*VLOOKUP(H2,Resources!$A$2:$E$11,5,FALSE)</t>
  </si>
  <si>
    <t xml:space="preserve">Formulas are shown without the leading = so you can read them. Type = and then the formula. Live versions are on the "(solved)" sheets.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</si>
</sst>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"/>
    <numFmt numFmtId="166" formatCode="0%"/>
    <numFmt numFmtId="167" formatCode="0.00"/>
    <numFmt numFmtId="168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B2340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1F6F8B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E2EFDA"/>
      </patternFill>
    </fill>
    <fill>
      <patternFill patternType="solid">
        <fgColor rgb="FFE2EFDA"/>
        <bgColor rgb="FFFFF2CC"/>
      </patternFill>
    </fill>
    <fill>
      <patternFill patternType="solid">
        <fgColor rgb="FF0B2340"/>
        <bgColor rgb="FF00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F8B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B234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4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 t="s">
        <v>6</v>
      </c>
    </row>
    <row r="9" customFormat="false" ht="15" hidden="false" customHeight="false" outlineLevel="0" collapsed="false">
      <c r="A9" s="3"/>
    </row>
    <row r="10" customFormat="false" ht="15" hidden="false" customHeight="false" outlineLevel="0" collapsed="false">
      <c r="A10" s="4" t="s">
        <v>7</v>
      </c>
    </row>
    <row r="11" customFormat="false" ht="15" hidden="false" customHeight="false" outlineLevel="0" collapsed="false">
      <c r="A11" s="5" t="s">
        <v>8</v>
      </c>
    </row>
    <row r="12" customFormat="false" ht="15" hidden="false" customHeight="false" outlineLevel="0" collapsed="false">
      <c r="A12" s="6" t="s">
        <v>9</v>
      </c>
    </row>
    <row r="13" customFormat="false" ht="15" hidden="false" customHeight="false" outlineLevel="0" collapsed="false">
      <c r="A13" s="3"/>
    </row>
    <row r="14" customFormat="false" ht="15" hidden="false" customHeight="false" outlineLevel="0" collapsed="false">
      <c r="A14" s="7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9"/>
    <col collapsed="false" customWidth="true" hidden="false" outlineLevel="0" max="4" min="3" style="0" width="12"/>
    <col collapsed="false" customWidth="true" hidden="false" outlineLevel="0" max="5" min="5" style="0" width="13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8" min="8" style="0" width="18"/>
    <col collapsed="false" customWidth="true" hidden="false" outlineLevel="0" max="9" min="9" style="0" width="12"/>
    <col collapsed="false" customWidth="true" hidden="false" outlineLevel="0" max="10" min="10" style="0" width="11"/>
    <col collapsed="false" customWidth="true" hidden="false" outlineLevel="0" max="17" min="12" style="0" width="14"/>
    <col collapsed="false" customWidth="true" hidden="false" outlineLevel="0" max="18" min="18" style="0" width="16"/>
    <col collapsed="false" customWidth="true" hidden="false" outlineLevel="0" max="19" min="19" style="0" width="14"/>
  </cols>
  <sheetData>
    <row r="1" customFormat="false" ht="15" hidden="false" customHeight="false" outlineLevel="0" collapsed="false">
      <c r="A1" s="8" t="s">
        <v>11</v>
      </c>
      <c r="B1" s="8" t="s">
        <v>12</v>
      </c>
      <c r="C1" s="8" t="s">
        <v>13</v>
      </c>
      <c r="D1" s="8" t="s">
        <v>14</v>
      </c>
      <c r="E1" s="8" t="s">
        <v>15</v>
      </c>
      <c r="F1" s="8" t="s">
        <v>16</v>
      </c>
      <c r="G1" s="8" t="s">
        <v>17</v>
      </c>
      <c r="H1" s="8" t="s">
        <v>18</v>
      </c>
      <c r="I1" s="8" t="s">
        <v>19</v>
      </c>
      <c r="J1" s="8" t="s">
        <v>20</v>
      </c>
      <c r="L1" s="9" t="s">
        <v>21</v>
      </c>
      <c r="M1" s="9" t="s">
        <v>22</v>
      </c>
      <c r="N1" s="9" t="s">
        <v>23</v>
      </c>
      <c r="O1" s="9" t="s">
        <v>24</v>
      </c>
      <c r="P1" s="9" t="s">
        <v>25</v>
      </c>
      <c r="Q1" s="9" t="s">
        <v>26</v>
      </c>
      <c r="R1" s="9" t="s">
        <v>27</v>
      </c>
      <c r="S1" s="9" t="s">
        <v>28</v>
      </c>
    </row>
    <row r="2" customFormat="false" ht="15" hidden="false" customHeight="false" outlineLevel="0" collapsed="false">
      <c r="A2" s="10" t="s">
        <v>29</v>
      </c>
      <c r="B2" s="10" t="s">
        <v>30</v>
      </c>
      <c r="C2" s="10" t="s">
        <v>31</v>
      </c>
      <c r="D2" s="10" t="s">
        <v>32</v>
      </c>
      <c r="E2" s="10" t="s">
        <v>33</v>
      </c>
      <c r="F2" s="10" t="s">
        <v>34</v>
      </c>
      <c r="G2" s="11" t="n">
        <v>250000</v>
      </c>
      <c r="H2" s="11" t="n">
        <v>182000</v>
      </c>
      <c r="I2" s="12" t="n">
        <v>0.68</v>
      </c>
      <c r="J2" s="12" t="n">
        <v>0.75</v>
      </c>
      <c r="L2" s="13"/>
      <c r="M2" s="13"/>
      <c r="N2" s="13"/>
      <c r="O2" s="14"/>
      <c r="P2" s="14"/>
      <c r="Q2" s="15"/>
      <c r="R2" s="15"/>
      <c r="S2" s="15"/>
    </row>
    <row r="3" customFormat="false" ht="15" hidden="false" customHeight="false" outlineLevel="0" collapsed="false">
      <c r="A3" s="10" t="s">
        <v>35</v>
      </c>
      <c r="B3" s="10" t="s">
        <v>36</v>
      </c>
      <c r="C3" s="10" t="s">
        <v>31</v>
      </c>
      <c r="D3" s="10" t="s">
        <v>37</v>
      </c>
      <c r="E3" s="10" t="s">
        <v>33</v>
      </c>
      <c r="F3" s="10" t="s">
        <v>34</v>
      </c>
      <c r="G3" s="11" t="n">
        <v>480000</v>
      </c>
      <c r="H3" s="11" t="n">
        <v>265000</v>
      </c>
      <c r="I3" s="12" t="n">
        <v>0.52</v>
      </c>
      <c r="J3" s="12" t="n">
        <v>0.55</v>
      </c>
      <c r="L3" s="13"/>
      <c r="M3" s="13"/>
      <c r="N3" s="13"/>
      <c r="O3" s="14"/>
      <c r="P3" s="14"/>
      <c r="Q3" s="15"/>
      <c r="R3" s="15"/>
      <c r="S3" s="15"/>
    </row>
    <row r="4" customFormat="false" ht="15" hidden="false" customHeight="false" outlineLevel="0" collapsed="false">
      <c r="A4" s="10" t="s">
        <v>38</v>
      </c>
      <c r="B4" s="10" t="s">
        <v>39</v>
      </c>
      <c r="C4" s="10" t="s">
        <v>40</v>
      </c>
      <c r="D4" s="10" t="s">
        <v>41</v>
      </c>
      <c r="E4" s="10" t="s">
        <v>42</v>
      </c>
      <c r="F4" s="10" t="s">
        <v>43</v>
      </c>
      <c r="G4" s="11" t="n">
        <v>120000</v>
      </c>
      <c r="H4" s="11" t="n">
        <v>128500</v>
      </c>
      <c r="I4" s="12" t="n">
        <v>1</v>
      </c>
      <c r="J4" s="12" t="n">
        <v>1</v>
      </c>
      <c r="L4" s="13"/>
      <c r="M4" s="13"/>
      <c r="N4" s="13"/>
      <c r="O4" s="14"/>
      <c r="P4" s="14"/>
      <c r="Q4" s="15"/>
      <c r="R4" s="15"/>
      <c r="S4" s="15"/>
    </row>
    <row r="5" customFormat="false" ht="15" hidden="false" customHeight="false" outlineLevel="0" collapsed="false">
      <c r="A5" s="10" t="s">
        <v>44</v>
      </c>
      <c r="B5" s="10" t="s">
        <v>45</v>
      </c>
      <c r="C5" s="10" t="s">
        <v>46</v>
      </c>
      <c r="D5" s="10" t="s">
        <v>37</v>
      </c>
      <c r="E5" s="10" t="s">
        <v>33</v>
      </c>
      <c r="F5" s="10" t="s">
        <v>34</v>
      </c>
      <c r="G5" s="11" t="n">
        <v>900000</v>
      </c>
      <c r="H5" s="11" t="n">
        <v>410000</v>
      </c>
      <c r="I5" s="12" t="n">
        <v>0.4</v>
      </c>
      <c r="J5" s="12" t="n">
        <v>0.48</v>
      </c>
      <c r="L5" s="13"/>
      <c r="M5" s="13"/>
      <c r="N5" s="13"/>
      <c r="O5" s="14"/>
      <c r="P5" s="14"/>
      <c r="Q5" s="15"/>
      <c r="R5" s="15"/>
      <c r="S5" s="15"/>
    </row>
    <row r="6" customFormat="false" ht="15" hidden="false" customHeight="false" outlineLevel="0" collapsed="false">
      <c r="A6" s="10" t="s">
        <v>47</v>
      </c>
      <c r="B6" s="10" t="s">
        <v>48</v>
      </c>
      <c r="C6" s="10" t="s">
        <v>49</v>
      </c>
      <c r="D6" s="10" t="s">
        <v>50</v>
      </c>
      <c r="E6" s="10" t="s">
        <v>33</v>
      </c>
      <c r="F6" s="10" t="s">
        <v>43</v>
      </c>
      <c r="G6" s="11" t="n">
        <v>95000</v>
      </c>
      <c r="H6" s="11" t="n">
        <v>61000</v>
      </c>
      <c r="I6" s="12" t="n">
        <v>0.7</v>
      </c>
      <c r="J6" s="12" t="n">
        <v>0.65</v>
      </c>
      <c r="L6" s="13"/>
      <c r="M6" s="13"/>
      <c r="N6" s="13"/>
      <c r="O6" s="14"/>
      <c r="P6" s="14"/>
      <c r="Q6" s="15"/>
      <c r="R6" s="15"/>
      <c r="S6" s="15"/>
    </row>
    <row r="7" customFormat="false" ht="15" hidden="false" customHeight="false" outlineLevel="0" collapsed="false">
      <c r="A7" s="10" t="s">
        <v>51</v>
      </c>
      <c r="B7" s="10" t="s">
        <v>52</v>
      </c>
      <c r="C7" s="10" t="s">
        <v>53</v>
      </c>
      <c r="D7" s="10" t="s">
        <v>54</v>
      </c>
      <c r="E7" s="10" t="s">
        <v>55</v>
      </c>
      <c r="F7" s="10" t="s">
        <v>43</v>
      </c>
      <c r="G7" s="11" t="n">
        <v>210000</v>
      </c>
      <c r="H7" s="11" t="n">
        <v>150000</v>
      </c>
      <c r="I7" s="12" t="n">
        <v>0.55</v>
      </c>
      <c r="J7" s="12" t="n">
        <v>0.7</v>
      </c>
      <c r="L7" s="13"/>
      <c r="M7" s="13"/>
      <c r="N7" s="13"/>
      <c r="O7" s="14"/>
      <c r="P7" s="14"/>
      <c r="Q7" s="15"/>
      <c r="R7" s="15"/>
      <c r="S7" s="15"/>
    </row>
    <row r="8" customFormat="false" ht="15" hidden="false" customHeight="false" outlineLevel="0" collapsed="false">
      <c r="A8" s="10" t="s">
        <v>56</v>
      </c>
      <c r="B8" s="10" t="s">
        <v>57</v>
      </c>
      <c r="C8" s="10" t="s">
        <v>31</v>
      </c>
      <c r="D8" s="10" t="s">
        <v>32</v>
      </c>
      <c r="E8" s="10" t="s">
        <v>58</v>
      </c>
      <c r="F8" s="10" t="s">
        <v>59</v>
      </c>
      <c r="G8" s="11" t="n">
        <v>60000</v>
      </c>
      <c r="H8" s="11" t="n">
        <v>0</v>
      </c>
      <c r="I8" s="12" t="n">
        <v>0</v>
      </c>
      <c r="J8" s="12" t="n">
        <v>0.1</v>
      </c>
      <c r="L8" s="13"/>
      <c r="M8" s="13"/>
      <c r="N8" s="13"/>
      <c r="O8" s="14"/>
      <c r="P8" s="14"/>
      <c r="Q8" s="15"/>
      <c r="R8" s="15"/>
      <c r="S8" s="15"/>
    </row>
    <row r="9" customFormat="false" ht="15" hidden="false" customHeight="false" outlineLevel="0" collapsed="false">
      <c r="A9" s="10" t="s">
        <v>60</v>
      </c>
      <c r="B9" s="10" t="s">
        <v>61</v>
      </c>
      <c r="C9" s="10" t="s">
        <v>62</v>
      </c>
      <c r="D9" s="10" t="s">
        <v>50</v>
      </c>
      <c r="E9" s="10" t="s">
        <v>42</v>
      </c>
      <c r="F9" s="10" t="s">
        <v>59</v>
      </c>
      <c r="G9" s="11" t="n">
        <v>75000</v>
      </c>
      <c r="H9" s="11" t="n">
        <v>71200</v>
      </c>
      <c r="I9" s="12" t="n">
        <v>1</v>
      </c>
      <c r="J9" s="12" t="n">
        <v>1</v>
      </c>
      <c r="L9" s="13"/>
      <c r="M9" s="13"/>
      <c r="N9" s="13"/>
      <c r="O9" s="14"/>
      <c r="P9" s="14"/>
      <c r="Q9" s="15"/>
      <c r="R9" s="15"/>
      <c r="S9" s="15"/>
    </row>
    <row r="11" customFormat="false" ht="15" hidden="false" customHeight="false" outlineLevel="0" collapsed="false">
      <c r="A11" s="4" t="s">
        <v>63</v>
      </c>
      <c r="G11" s="13"/>
      <c r="H11" s="13"/>
      <c r="I11" s="16"/>
    </row>
    <row r="13" customFormat="false" ht="15" hidden="false" customHeight="false" outlineLevel="0" collapsed="false">
      <c r="A13" s="4" t="s">
        <v>64</v>
      </c>
      <c r="B13" s="15"/>
    </row>
    <row r="14" customFormat="false" ht="15" hidden="false" customHeight="false" outlineLevel="0" collapsed="false">
      <c r="A14" s="4" t="s">
        <v>65</v>
      </c>
      <c r="B14" s="13"/>
    </row>
    <row r="15" customFormat="false" ht="15" hidden="false" customHeight="false" outlineLevel="0" collapsed="false">
      <c r="A15" s="4" t="s">
        <v>66</v>
      </c>
      <c r="B15" s="14"/>
    </row>
    <row r="16" customFormat="false" ht="15" hidden="false" customHeight="false" outlineLevel="0" collapsed="false">
      <c r="A16" s="4" t="s">
        <v>67</v>
      </c>
      <c r="B16" s="15"/>
    </row>
    <row r="17" customFormat="false" ht="15" hidden="false" customHeight="false" outlineLevel="0" collapsed="false">
      <c r="A17" s="4" t="s">
        <v>68</v>
      </c>
      <c r="B17" s="15"/>
    </row>
    <row r="18" customFormat="false" ht="15" hidden="false" customHeight="false" outlineLevel="0" collapsed="false">
      <c r="A18" s="4" t="s">
        <v>69</v>
      </c>
      <c r="B18" s="15"/>
    </row>
    <row r="19" customFormat="false" ht="15" hidden="false" customHeight="false" outlineLevel="0" collapsed="false">
      <c r="A19" s="4" t="s">
        <v>70</v>
      </c>
      <c r="B19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30"/>
    <col collapsed="false" customWidth="true" hidden="false" outlineLevel="0" max="4" min="4" style="0" width="11"/>
    <col collapsed="false" customWidth="true" hidden="false" outlineLevel="0" max="5" min="5" style="0" width="15"/>
    <col collapsed="false" customWidth="true" hidden="false" outlineLevel="0" max="6" min="6" style="0" width="14"/>
    <col collapsed="false" customWidth="true" hidden="false" outlineLevel="0" max="7" min="7" style="0" width="13"/>
    <col collapsed="false" customWidth="true" hidden="false" outlineLevel="0" max="8" min="8" style="0" width="10"/>
    <col collapsed="false" customWidth="true" hidden="false" outlineLevel="0" max="9" min="9" style="0" width="20"/>
    <col collapsed="false" customWidth="true" hidden="false" outlineLevel="0" max="10" min="10" style="0" width="15"/>
  </cols>
  <sheetData>
    <row r="1" customFormat="false" ht="15" hidden="false" customHeight="false" outlineLevel="0" collapsed="false">
      <c r="A1" s="8" t="s">
        <v>71</v>
      </c>
      <c r="B1" s="8" t="s">
        <v>11</v>
      </c>
      <c r="C1" s="8" t="s">
        <v>72</v>
      </c>
      <c r="D1" s="8" t="s">
        <v>73</v>
      </c>
      <c r="E1" s="8" t="s">
        <v>74</v>
      </c>
      <c r="F1" s="8" t="s">
        <v>75</v>
      </c>
      <c r="G1" s="8" t="s">
        <v>15</v>
      </c>
      <c r="H1" s="8" t="s">
        <v>76</v>
      </c>
      <c r="I1" s="9" t="s">
        <v>77</v>
      </c>
      <c r="J1" s="9" t="s">
        <v>78</v>
      </c>
    </row>
    <row r="2" customFormat="false" ht="15" hidden="false" customHeight="false" outlineLevel="0" collapsed="false">
      <c r="A2" s="10" t="s">
        <v>79</v>
      </c>
      <c r="B2" s="10" t="s">
        <v>29</v>
      </c>
      <c r="C2" s="10" t="s">
        <v>80</v>
      </c>
      <c r="D2" s="10" t="s">
        <v>81</v>
      </c>
      <c r="E2" s="10" t="n">
        <v>120</v>
      </c>
      <c r="F2" s="10" t="n">
        <v>135</v>
      </c>
      <c r="G2" s="10" t="s">
        <v>82</v>
      </c>
      <c r="H2" s="10" t="s">
        <v>83</v>
      </c>
      <c r="I2" s="16"/>
      <c r="J2" s="13"/>
    </row>
    <row r="3" customFormat="false" ht="15" hidden="false" customHeight="false" outlineLevel="0" collapsed="false">
      <c r="A3" s="10" t="s">
        <v>84</v>
      </c>
      <c r="B3" s="10" t="s">
        <v>29</v>
      </c>
      <c r="C3" s="10" t="s">
        <v>85</v>
      </c>
      <c r="D3" s="10" t="s">
        <v>86</v>
      </c>
      <c r="E3" s="10" t="n">
        <v>400</v>
      </c>
      <c r="F3" s="10" t="n">
        <v>380</v>
      </c>
      <c r="G3" s="10" t="s">
        <v>82</v>
      </c>
      <c r="H3" s="10" t="s">
        <v>87</v>
      </c>
      <c r="I3" s="16"/>
      <c r="J3" s="13"/>
    </row>
    <row r="4" customFormat="false" ht="15" hidden="false" customHeight="false" outlineLevel="0" collapsed="false">
      <c r="A4" s="10" t="s">
        <v>88</v>
      </c>
      <c r="B4" s="10" t="s">
        <v>29</v>
      </c>
      <c r="C4" s="10" t="s">
        <v>89</v>
      </c>
      <c r="D4" s="10" t="s">
        <v>86</v>
      </c>
      <c r="E4" s="10" t="n">
        <v>240</v>
      </c>
      <c r="F4" s="10" t="n">
        <v>210</v>
      </c>
      <c r="G4" s="10" t="s">
        <v>33</v>
      </c>
      <c r="H4" s="10" t="s">
        <v>90</v>
      </c>
      <c r="I4" s="16"/>
      <c r="J4" s="13"/>
    </row>
    <row r="5" customFormat="false" ht="15" hidden="false" customHeight="false" outlineLevel="0" collapsed="false">
      <c r="A5" s="10" t="s">
        <v>91</v>
      </c>
      <c r="B5" s="10" t="s">
        <v>29</v>
      </c>
      <c r="C5" s="10" t="s">
        <v>92</v>
      </c>
      <c r="D5" s="10" t="s">
        <v>93</v>
      </c>
      <c r="E5" s="10" t="n">
        <v>160</v>
      </c>
      <c r="F5" s="10" t="n">
        <v>60</v>
      </c>
      <c r="G5" s="10" t="s">
        <v>33</v>
      </c>
      <c r="H5" s="10" t="s">
        <v>94</v>
      </c>
      <c r="I5" s="16"/>
      <c r="J5" s="13"/>
    </row>
    <row r="6" customFormat="false" ht="15" hidden="false" customHeight="false" outlineLevel="0" collapsed="false">
      <c r="A6" s="10" t="s">
        <v>95</v>
      </c>
      <c r="B6" s="10" t="s">
        <v>29</v>
      </c>
      <c r="C6" s="10" t="s">
        <v>96</v>
      </c>
      <c r="D6" s="10" t="s">
        <v>97</v>
      </c>
      <c r="E6" s="10" t="n">
        <v>80</v>
      </c>
      <c r="F6" s="10" t="n">
        <v>0</v>
      </c>
      <c r="G6" s="10" t="s">
        <v>58</v>
      </c>
      <c r="H6" s="10" t="s">
        <v>32</v>
      </c>
      <c r="I6" s="16"/>
      <c r="J6" s="13"/>
    </row>
    <row r="7" customFormat="false" ht="15" hidden="false" customHeight="false" outlineLevel="0" collapsed="false">
      <c r="A7" s="10" t="s">
        <v>98</v>
      </c>
      <c r="B7" s="10" t="s">
        <v>35</v>
      </c>
      <c r="C7" s="10" t="s">
        <v>99</v>
      </c>
      <c r="D7" s="10" t="s">
        <v>81</v>
      </c>
      <c r="E7" s="10" t="n">
        <v>150</v>
      </c>
      <c r="F7" s="10" t="n">
        <v>170</v>
      </c>
      <c r="G7" s="10" t="s">
        <v>82</v>
      </c>
      <c r="H7" s="10" t="s">
        <v>83</v>
      </c>
      <c r="I7" s="16"/>
      <c r="J7" s="13"/>
    </row>
    <row r="8" customFormat="false" ht="15" hidden="false" customHeight="false" outlineLevel="0" collapsed="false">
      <c r="A8" s="10" t="s">
        <v>100</v>
      </c>
      <c r="B8" s="10" t="s">
        <v>35</v>
      </c>
      <c r="C8" s="10" t="s">
        <v>101</v>
      </c>
      <c r="D8" s="10" t="s">
        <v>81</v>
      </c>
      <c r="E8" s="10" t="n">
        <v>200</v>
      </c>
      <c r="F8" s="10" t="n">
        <v>230</v>
      </c>
      <c r="G8" s="10" t="s">
        <v>82</v>
      </c>
      <c r="H8" s="10" t="s">
        <v>90</v>
      </c>
      <c r="I8" s="16"/>
      <c r="J8" s="13"/>
    </row>
    <row r="9" customFormat="false" ht="15" hidden="false" customHeight="false" outlineLevel="0" collapsed="false">
      <c r="A9" s="10" t="s">
        <v>102</v>
      </c>
      <c r="B9" s="10" t="s">
        <v>35</v>
      </c>
      <c r="C9" s="10" t="s">
        <v>103</v>
      </c>
      <c r="D9" s="10" t="s">
        <v>86</v>
      </c>
      <c r="E9" s="10" t="n">
        <v>600</v>
      </c>
      <c r="F9" s="10" t="n">
        <v>340</v>
      </c>
      <c r="G9" s="10" t="s">
        <v>33</v>
      </c>
      <c r="H9" s="10" t="s">
        <v>90</v>
      </c>
      <c r="I9" s="16"/>
      <c r="J9" s="13"/>
    </row>
    <row r="10" customFormat="false" ht="15" hidden="false" customHeight="false" outlineLevel="0" collapsed="false">
      <c r="A10" s="10" t="s">
        <v>104</v>
      </c>
      <c r="B10" s="10" t="s">
        <v>35</v>
      </c>
      <c r="C10" s="10" t="s">
        <v>105</v>
      </c>
      <c r="D10" s="10" t="s">
        <v>86</v>
      </c>
      <c r="E10" s="10" t="n">
        <v>300</v>
      </c>
      <c r="F10" s="10" t="n">
        <v>40</v>
      </c>
      <c r="G10" s="10" t="s">
        <v>33</v>
      </c>
      <c r="H10" s="10" t="s">
        <v>106</v>
      </c>
      <c r="I10" s="16"/>
      <c r="J10" s="13"/>
    </row>
    <row r="11" customFormat="false" ht="15" hidden="false" customHeight="false" outlineLevel="0" collapsed="false">
      <c r="A11" s="10" t="s">
        <v>107</v>
      </c>
      <c r="B11" s="10" t="s">
        <v>35</v>
      </c>
      <c r="C11" s="10" t="s">
        <v>108</v>
      </c>
      <c r="D11" s="10" t="s">
        <v>93</v>
      </c>
      <c r="E11" s="10" t="n">
        <v>180</v>
      </c>
      <c r="F11" s="10" t="n">
        <v>0</v>
      </c>
      <c r="G11" s="10" t="s">
        <v>58</v>
      </c>
      <c r="H11" s="10" t="s">
        <v>94</v>
      </c>
      <c r="I11" s="16"/>
      <c r="J11" s="13"/>
    </row>
    <row r="12" customFormat="false" ht="15" hidden="false" customHeight="false" outlineLevel="0" collapsed="false">
      <c r="A12" s="10" t="s">
        <v>109</v>
      </c>
      <c r="B12" s="10" t="s">
        <v>38</v>
      </c>
      <c r="C12" s="10" t="s">
        <v>110</v>
      </c>
      <c r="D12" s="10" t="s">
        <v>81</v>
      </c>
      <c r="E12" s="10" t="n">
        <v>90</v>
      </c>
      <c r="F12" s="10" t="n">
        <v>100</v>
      </c>
      <c r="G12" s="10" t="s">
        <v>82</v>
      </c>
      <c r="H12" s="10" t="s">
        <v>83</v>
      </c>
      <c r="I12" s="16"/>
      <c r="J12" s="13"/>
    </row>
    <row r="13" customFormat="false" ht="15" hidden="false" customHeight="false" outlineLevel="0" collapsed="false">
      <c r="A13" s="10" t="s">
        <v>111</v>
      </c>
      <c r="B13" s="10" t="s">
        <v>38</v>
      </c>
      <c r="C13" s="10" t="s">
        <v>112</v>
      </c>
      <c r="D13" s="10" t="s">
        <v>86</v>
      </c>
      <c r="E13" s="10" t="n">
        <v>320</v>
      </c>
      <c r="F13" s="10" t="n">
        <v>365</v>
      </c>
      <c r="G13" s="10" t="s">
        <v>82</v>
      </c>
      <c r="H13" s="10" t="s">
        <v>87</v>
      </c>
      <c r="I13" s="16"/>
      <c r="J13" s="13"/>
    </row>
    <row r="14" customFormat="false" ht="15" hidden="false" customHeight="false" outlineLevel="0" collapsed="false">
      <c r="A14" s="10" t="s">
        <v>113</v>
      </c>
      <c r="B14" s="10" t="s">
        <v>38</v>
      </c>
      <c r="C14" s="10" t="s">
        <v>114</v>
      </c>
      <c r="D14" s="10" t="s">
        <v>93</v>
      </c>
      <c r="E14" s="10" t="n">
        <v>110</v>
      </c>
      <c r="F14" s="10" t="n">
        <v>120</v>
      </c>
      <c r="G14" s="10" t="s">
        <v>82</v>
      </c>
      <c r="H14" s="10" t="s">
        <v>94</v>
      </c>
      <c r="I14" s="16"/>
      <c r="J14" s="13"/>
    </row>
    <row r="15" customFormat="false" ht="15" hidden="false" customHeight="false" outlineLevel="0" collapsed="false">
      <c r="A15" s="10" t="s">
        <v>115</v>
      </c>
      <c r="B15" s="10" t="s">
        <v>44</v>
      </c>
      <c r="C15" s="10" t="s">
        <v>116</v>
      </c>
      <c r="D15" s="10" t="s">
        <v>81</v>
      </c>
      <c r="E15" s="10" t="n">
        <v>160</v>
      </c>
      <c r="F15" s="10" t="n">
        <v>150</v>
      </c>
      <c r="G15" s="10" t="s">
        <v>82</v>
      </c>
      <c r="H15" s="10" t="s">
        <v>37</v>
      </c>
      <c r="I15" s="16"/>
      <c r="J15" s="13"/>
    </row>
    <row r="16" customFormat="false" ht="15" hidden="false" customHeight="false" outlineLevel="0" collapsed="false">
      <c r="A16" s="10" t="s">
        <v>117</v>
      </c>
      <c r="B16" s="10" t="s">
        <v>44</v>
      </c>
      <c r="C16" s="10" t="s">
        <v>118</v>
      </c>
      <c r="D16" s="10" t="s">
        <v>86</v>
      </c>
      <c r="E16" s="10" t="n">
        <v>800</v>
      </c>
      <c r="F16" s="10" t="n">
        <v>420</v>
      </c>
      <c r="G16" s="10" t="s">
        <v>33</v>
      </c>
      <c r="H16" s="10" t="s">
        <v>54</v>
      </c>
      <c r="I16" s="16"/>
      <c r="J16" s="13"/>
    </row>
    <row r="17" customFormat="false" ht="15" hidden="false" customHeight="false" outlineLevel="0" collapsed="false">
      <c r="A17" s="10" t="s">
        <v>119</v>
      </c>
      <c r="B17" s="10" t="s">
        <v>44</v>
      </c>
      <c r="C17" s="10" t="s">
        <v>120</v>
      </c>
      <c r="D17" s="10" t="s">
        <v>86</v>
      </c>
      <c r="E17" s="10" t="n">
        <v>500</v>
      </c>
      <c r="F17" s="10" t="n">
        <v>150</v>
      </c>
      <c r="G17" s="10" t="s">
        <v>121</v>
      </c>
      <c r="H17" s="10" t="s">
        <v>87</v>
      </c>
      <c r="I17" s="16"/>
      <c r="J17" s="13"/>
    </row>
    <row r="18" customFormat="false" ht="15" hidden="false" customHeight="false" outlineLevel="0" collapsed="false">
      <c r="A18" s="10" t="s">
        <v>122</v>
      </c>
      <c r="B18" s="10" t="s">
        <v>44</v>
      </c>
      <c r="C18" s="10" t="s">
        <v>123</v>
      </c>
      <c r="D18" s="10" t="s">
        <v>93</v>
      </c>
      <c r="E18" s="10" t="n">
        <v>120</v>
      </c>
      <c r="F18" s="10" t="n">
        <v>0</v>
      </c>
      <c r="G18" s="10" t="s">
        <v>58</v>
      </c>
      <c r="H18" s="10" t="s">
        <v>94</v>
      </c>
      <c r="I18" s="16"/>
      <c r="J18" s="13"/>
    </row>
    <row r="19" customFormat="false" ht="15" hidden="false" customHeight="false" outlineLevel="0" collapsed="false">
      <c r="A19" s="10" t="s">
        <v>124</v>
      </c>
      <c r="B19" s="10" t="s">
        <v>44</v>
      </c>
      <c r="C19" s="10" t="s">
        <v>125</v>
      </c>
      <c r="D19" s="10" t="s">
        <v>97</v>
      </c>
      <c r="E19" s="10" t="n">
        <v>90</v>
      </c>
      <c r="F19" s="10" t="n">
        <v>0</v>
      </c>
      <c r="G19" s="10" t="s">
        <v>58</v>
      </c>
      <c r="H19" s="10" t="s">
        <v>37</v>
      </c>
      <c r="I19" s="16"/>
      <c r="J19" s="13"/>
    </row>
    <row r="20" customFormat="false" ht="15" hidden="false" customHeight="false" outlineLevel="0" collapsed="false">
      <c r="A20" s="10" t="s">
        <v>126</v>
      </c>
      <c r="B20" s="10" t="s">
        <v>47</v>
      </c>
      <c r="C20" s="10" t="s">
        <v>127</v>
      </c>
      <c r="D20" s="10" t="s">
        <v>81</v>
      </c>
      <c r="E20" s="10" t="n">
        <v>60</v>
      </c>
      <c r="F20" s="10" t="n">
        <v>55</v>
      </c>
      <c r="G20" s="10" t="s">
        <v>82</v>
      </c>
      <c r="H20" s="10" t="s">
        <v>106</v>
      </c>
      <c r="I20" s="16"/>
      <c r="J20" s="13"/>
    </row>
    <row r="21" customFormat="false" ht="15" hidden="false" customHeight="false" outlineLevel="0" collapsed="false">
      <c r="A21" s="10" t="s">
        <v>128</v>
      </c>
      <c r="B21" s="10" t="s">
        <v>47</v>
      </c>
      <c r="C21" s="10" t="s">
        <v>129</v>
      </c>
      <c r="D21" s="10" t="s">
        <v>86</v>
      </c>
      <c r="E21" s="10" t="n">
        <v>200</v>
      </c>
      <c r="F21" s="10" t="n">
        <v>190</v>
      </c>
      <c r="G21" s="10" t="s">
        <v>82</v>
      </c>
      <c r="H21" s="10" t="s">
        <v>90</v>
      </c>
      <c r="I21" s="16"/>
      <c r="J21" s="13"/>
    </row>
    <row r="22" customFormat="false" ht="15" hidden="false" customHeight="false" outlineLevel="0" collapsed="false">
      <c r="A22" s="10" t="s">
        <v>130</v>
      </c>
      <c r="B22" s="10" t="s">
        <v>47</v>
      </c>
      <c r="C22" s="10" t="s">
        <v>131</v>
      </c>
      <c r="D22" s="10" t="s">
        <v>86</v>
      </c>
      <c r="E22" s="10" t="n">
        <v>180</v>
      </c>
      <c r="F22" s="10" t="n">
        <v>120</v>
      </c>
      <c r="G22" s="10" t="s">
        <v>33</v>
      </c>
      <c r="H22" s="10" t="s">
        <v>106</v>
      </c>
      <c r="I22" s="16"/>
      <c r="J22" s="13"/>
    </row>
    <row r="23" customFormat="false" ht="15" hidden="false" customHeight="false" outlineLevel="0" collapsed="false">
      <c r="A23" s="10" t="s">
        <v>132</v>
      </c>
      <c r="B23" s="10" t="s">
        <v>47</v>
      </c>
      <c r="C23" s="10" t="s">
        <v>133</v>
      </c>
      <c r="D23" s="10" t="s">
        <v>97</v>
      </c>
      <c r="E23" s="10" t="n">
        <v>40</v>
      </c>
      <c r="F23" s="10" t="n">
        <v>0</v>
      </c>
      <c r="G23" s="10" t="s">
        <v>58</v>
      </c>
      <c r="H23" s="10" t="s">
        <v>50</v>
      </c>
      <c r="I23" s="16"/>
      <c r="J23" s="13"/>
    </row>
    <row r="24" customFormat="false" ht="15" hidden="false" customHeight="false" outlineLevel="0" collapsed="false">
      <c r="A24" s="10" t="s">
        <v>134</v>
      </c>
      <c r="B24" s="10" t="s">
        <v>51</v>
      </c>
      <c r="C24" s="10" t="s">
        <v>135</v>
      </c>
      <c r="D24" s="10" t="s">
        <v>81</v>
      </c>
      <c r="E24" s="10" t="n">
        <v>80</v>
      </c>
      <c r="F24" s="10" t="n">
        <v>95</v>
      </c>
      <c r="G24" s="10" t="s">
        <v>82</v>
      </c>
      <c r="H24" s="10" t="s">
        <v>54</v>
      </c>
      <c r="I24" s="16"/>
      <c r="J24" s="13"/>
    </row>
    <row r="25" customFormat="false" ht="15" hidden="false" customHeight="false" outlineLevel="0" collapsed="false">
      <c r="A25" s="10" t="s">
        <v>136</v>
      </c>
      <c r="B25" s="10" t="s">
        <v>51</v>
      </c>
      <c r="C25" s="10" t="s">
        <v>137</v>
      </c>
      <c r="D25" s="10" t="s">
        <v>86</v>
      </c>
      <c r="E25" s="10" t="n">
        <v>300</v>
      </c>
      <c r="F25" s="10" t="n">
        <v>210</v>
      </c>
      <c r="G25" s="10" t="s">
        <v>121</v>
      </c>
      <c r="H25" s="10" t="s">
        <v>54</v>
      </c>
      <c r="I25" s="16"/>
      <c r="J25" s="13"/>
    </row>
    <row r="26" customFormat="false" ht="15" hidden="false" customHeight="false" outlineLevel="0" collapsed="false">
      <c r="A26" s="10" t="s">
        <v>138</v>
      </c>
      <c r="B26" s="10" t="s">
        <v>51</v>
      </c>
      <c r="C26" s="10" t="s">
        <v>139</v>
      </c>
      <c r="D26" s="10" t="s">
        <v>86</v>
      </c>
      <c r="E26" s="10" t="n">
        <v>120</v>
      </c>
      <c r="F26" s="10" t="n">
        <v>0</v>
      </c>
      <c r="G26" s="10" t="s">
        <v>58</v>
      </c>
      <c r="H26" s="10" t="s">
        <v>87</v>
      </c>
      <c r="I26" s="16"/>
      <c r="J26" s="13"/>
    </row>
    <row r="27" customFormat="false" ht="15" hidden="false" customHeight="false" outlineLevel="0" collapsed="false">
      <c r="A27" s="10" t="s">
        <v>140</v>
      </c>
      <c r="B27" s="10" t="s">
        <v>51</v>
      </c>
      <c r="C27" s="10" t="s">
        <v>141</v>
      </c>
      <c r="D27" s="10" t="s">
        <v>97</v>
      </c>
      <c r="E27" s="10" t="n">
        <v>60</v>
      </c>
      <c r="F27" s="10" t="n">
        <v>0</v>
      </c>
      <c r="G27" s="10" t="s">
        <v>58</v>
      </c>
      <c r="H27" s="10" t="s">
        <v>54</v>
      </c>
      <c r="I27" s="16"/>
      <c r="J27" s="13"/>
    </row>
    <row r="28" customFormat="false" ht="15" hidden="false" customHeight="false" outlineLevel="0" collapsed="false">
      <c r="A28" s="10" t="s">
        <v>142</v>
      </c>
      <c r="B28" s="10" t="s">
        <v>56</v>
      </c>
      <c r="C28" s="10" t="s">
        <v>143</v>
      </c>
      <c r="D28" s="10" t="s">
        <v>81</v>
      </c>
      <c r="E28" s="10" t="n">
        <v>100</v>
      </c>
      <c r="F28" s="10" t="n">
        <v>0</v>
      </c>
      <c r="G28" s="10" t="s">
        <v>58</v>
      </c>
      <c r="H28" s="10" t="s">
        <v>83</v>
      </c>
      <c r="I28" s="16"/>
      <c r="J28" s="13"/>
    </row>
    <row r="29" customFormat="false" ht="15" hidden="false" customHeight="false" outlineLevel="0" collapsed="false">
      <c r="A29" s="10" t="s">
        <v>144</v>
      </c>
      <c r="B29" s="10" t="s">
        <v>56</v>
      </c>
      <c r="C29" s="10" t="s">
        <v>145</v>
      </c>
      <c r="D29" s="10" t="s">
        <v>86</v>
      </c>
      <c r="E29" s="10" t="n">
        <v>150</v>
      </c>
      <c r="F29" s="10" t="n">
        <v>0</v>
      </c>
      <c r="G29" s="10" t="s">
        <v>58</v>
      </c>
      <c r="H29" s="10" t="s">
        <v>32</v>
      </c>
      <c r="I29" s="16"/>
      <c r="J29" s="13"/>
    </row>
    <row r="30" customFormat="false" ht="15" hidden="false" customHeight="false" outlineLevel="0" collapsed="false">
      <c r="A30" s="10" t="s">
        <v>146</v>
      </c>
      <c r="B30" s="10" t="s">
        <v>60</v>
      </c>
      <c r="C30" s="10" t="s">
        <v>147</v>
      </c>
      <c r="D30" s="10" t="s">
        <v>81</v>
      </c>
      <c r="E30" s="10" t="n">
        <v>70</v>
      </c>
      <c r="F30" s="10" t="n">
        <v>65</v>
      </c>
      <c r="G30" s="10" t="s">
        <v>82</v>
      </c>
      <c r="H30" s="10" t="s">
        <v>83</v>
      </c>
      <c r="I30" s="16"/>
      <c r="J30" s="13"/>
    </row>
    <row r="31" customFormat="false" ht="15" hidden="false" customHeight="false" outlineLevel="0" collapsed="false">
      <c r="A31" s="10" t="s">
        <v>148</v>
      </c>
      <c r="B31" s="10" t="s">
        <v>60</v>
      </c>
      <c r="C31" s="10" t="s">
        <v>149</v>
      </c>
      <c r="D31" s="10" t="s">
        <v>86</v>
      </c>
      <c r="E31" s="10" t="n">
        <v>260</v>
      </c>
      <c r="F31" s="10" t="n">
        <v>250</v>
      </c>
      <c r="G31" s="10" t="s">
        <v>82</v>
      </c>
      <c r="H31" s="10" t="s">
        <v>87</v>
      </c>
      <c r="I31" s="16"/>
      <c r="J31" s="13"/>
    </row>
    <row r="32" customFormat="false" ht="15" hidden="false" customHeight="false" outlineLevel="0" collapsed="false">
      <c r="A32" s="10" t="s">
        <v>150</v>
      </c>
      <c r="B32" s="10" t="s">
        <v>60</v>
      </c>
      <c r="C32" s="10" t="s">
        <v>151</v>
      </c>
      <c r="D32" s="10" t="s">
        <v>97</v>
      </c>
      <c r="E32" s="10" t="n">
        <v>50</v>
      </c>
      <c r="F32" s="10" t="n">
        <v>48</v>
      </c>
      <c r="G32" s="10" t="s">
        <v>82</v>
      </c>
      <c r="H32" s="10" t="s">
        <v>50</v>
      </c>
      <c r="I32" s="16"/>
      <c r="J32" s="1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5"/>
    <col collapsed="false" customWidth="true" hidden="false" outlineLevel="0" max="3" min="3" style="0" width="21"/>
    <col collapsed="false" customWidth="true" hidden="false" outlineLevel="0" max="4" min="4" style="0" width="12"/>
    <col collapsed="false" customWidth="true" hidden="false" outlineLevel="0" max="5" min="5" style="0" width="13"/>
  </cols>
  <sheetData>
    <row r="1" customFormat="false" ht="15" hidden="false" customHeight="false" outlineLevel="0" collapsed="false">
      <c r="A1" s="8" t="s">
        <v>152</v>
      </c>
      <c r="B1" s="8" t="s">
        <v>153</v>
      </c>
      <c r="C1" s="8" t="s">
        <v>154</v>
      </c>
      <c r="D1" s="8" t="s">
        <v>13</v>
      </c>
      <c r="E1" s="8" t="s">
        <v>155</v>
      </c>
    </row>
    <row r="2" customFormat="false" ht="15" hidden="false" customHeight="false" outlineLevel="0" collapsed="false">
      <c r="A2" s="10" t="s">
        <v>32</v>
      </c>
      <c r="B2" s="10" t="s">
        <v>156</v>
      </c>
      <c r="C2" s="10" t="s">
        <v>157</v>
      </c>
      <c r="D2" s="10" t="s">
        <v>158</v>
      </c>
      <c r="E2" s="10" t="n">
        <v>85</v>
      </c>
    </row>
    <row r="3" customFormat="false" ht="15" hidden="false" customHeight="false" outlineLevel="0" collapsed="false">
      <c r="A3" s="10" t="s">
        <v>37</v>
      </c>
      <c r="B3" s="10" t="s">
        <v>159</v>
      </c>
      <c r="C3" s="10" t="s">
        <v>157</v>
      </c>
      <c r="D3" s="10" t="s">
        <v>158</v>
      </c>
      <c r="E3" s="10" t="n">
        <v>90</v>
      </c>
    </row>
    <row r="4" customFormat="false" ht="15" hidden="false" customHeight="false" outlineLevel="0" collapsed="false">
      <c r="A4" s="10" t="s">
        <v>41</v>
      </c>
      <c r="B4" s="10" t="s">
        <v>160</v>
      </c>
      <c r="C4" s="10" t="s">
        <v>157</v>
      </c>
      <c r="D4" s="10" t="s">
        <v>158</v>
      </c>
      <c r="E4" s="10" t="n">
        <v>80</v>
      </c>
    </row>
    <row r="5" customFormat="false" ht="15" hidden="false" customHeight="false" outlineLevel="0" collapsed="false">
      <c r="A5" s="10" t="s">
        <v>50</v>
      </c>
      <c r="B5" s="10" t="s">
        <v>161</v>
      </c>
      <c r="C5" s="10" t="s">
        <v>157</v>
      </c>
      <c r="D5" s="10" t="s">
        <v>158</v>
      </c>
      <c r="E5" s="10" t="n">
        <v>82</v>
      </c>
    </row>
    <row r="6" customFormat="false" ht="15" hidden="false" customHeight="false" outlineLevel="0" collapsed="false">
      <c r="A6" s="10" t="s">
        <v>54</v>
      </c>
      <c r="B6" s="10" t="s">
        <v>162</v>
      </c>
      <c r="C6" s="10" t="s">
        <v>163</v>
      </c>
      <c r="D6" s="10" t="s">
        <v>53</v>
      </c>
      <c r="E6" s="10" t="n">
        <v>55</v>
      </c>
    </row>
    <row r="7" customFormat="false" ht="15" hidden="false" customHeight="false" outlineLevel="0" collapsed="false">
      <c r="A7" s="10" t="s">
        <v>83</v>
      </c>
      <c r="B7" s="10" t="s">
        <v>164</v>
      </c>
      <c r="C7" s="10" t="s">
        <v>165</v>
      </c>
      <c r="D7" s="10" t="s">
        <v>31</v>
      </c>
      <c r="E7" s="10" t="n">
        <v>70</v>
      </c>
    </row>
    <row r="8" customFormat="false" ht="15" hidden="false" customHeight="false" outlineLevel="0" collapsed="false">
      <c r="A8" s="10" t="s">
        <v>90</v>
      </c>
      <c r="B8" s="10" t="s">
        <v>166</v>
      </c>
      <c r="C8" s="10" t="s">
        <v>167</v>
      </c>
      <c r="D8" s="10" t="s">
        <v>31</v>
      </c>
      <c r="E8" s="10" t="n">
        <v>78</v>
      </c>
    </row>
    <row r="9" customFormat="false" ht="15" hidden="false" customHeight="false" outlineLevel="0" collapsed="false">
      <c r="A9" s="10" t="s">
        <v>87</v>
      </c>
      <c r="B9" s="10" t="s">
        <v>168</v>
      </c>
      <c r="C9" s="10" t="s">
        <v>169</v>
      </c>
      <c r="D9" s="10" t="s">
        <v>31</v>
      </c>
      <c r="E9" s="10" t="n">
        <v>75</v>
      </c>
    </row>
    <row r="10" customFormat="false" ht="15" hidden="false" customHeight="false" outlineLevel="0" collapsed="false">
      <c r="A10" s="10" t="s">
        <v>94</v>
      </c>
      <c r="B10" s="10" t="s">
        <v>170</v>
      </c>
      <c r="C10" s="10" t="s">
        <v>171</v>
      </c>
      <c r="D10" s="10" t="s">
        <v>31</v>
      </c>
      <c r="E10" s="10" t="n">
        <v>62</v>
      </c>
    </row>
    <row r="11" customFormat="false" ht="15" hidden="false" customHeight="false" outlineLevel="0" collapsed="false">
      <c r="A11" s="10" t="s">
        <v>106</v>
      </c>
      <c r="B11" s="10" t="s">
        <v>172</v>
      </c>
      <c r="C11" s="10" t="s">
        <v>173</v>
      </c>
      <c r="D11" s="10" t="s">
        <v>49</v>
      </c>
      <c r="E11" s="10" t="n">
        <v>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36"/>
    <col collapsed="false" customWidth="true" hidden="false" outlineLevel="0" max="5" min="4" style="0" width="13"/>
    <col collapsed="false" customWidth="true" hidden="false" outlineLevel="0" max="7" min="6" style="0" width="10"/>
  </cols>
  <sheetData>
    <row r="1" customFormat="false" ht="15" hidden="false" customHeight="false" outlineLevel="0" collapsed="false">
      <c r="A1" s="8" t="s">
        <v>174</v>
      </c>
      <c r="B1" s="8" t="s">
        <v>11</v>
      </c>
      <c r="C1" s="8" t="s">
        <v>175</v>
      </c>
      <c r="D1" s="8" t="s">
        <v>176</v>
      </c>
      <c r="E1" s="8" t="s">
        <v>177</v>
      </c>
      <c r="F1" s="8" t="s">
        <v>15</v>
      </c>
      <c r="G1" s="8" t="s">
        <v>76</v>
      </c>
    </row>
    <row r="2" customFormat="false" ht="15" hidden="false" customHeight="false" outlineLevel="0" collapsed="false">
      <c r="A2" s="10" t="s">
        <v>178</v>
      </c>
      <c r="B2" s="10" t="s">
        <v>29</v>
      </c>
      <c r="C2" s="10" t="s">
        <v>179</v>
      </c>
      <c r="D2" s="12" t="n">
        <v>0.6</v>
      </c>
      <c r="E2" s="11" t="n">
        <v>40000</v>
      </c>
      <c r="F2" s="10" t="s">
        <v>180</v>
      </c>
      <c r="G2" s="10" t="s">
        <v>90</v>
      </c>
    </row>
    <row r="3" customFormat="false" ht="15" hidden="false" customHeight="false" outlineLevel="0" collapsed="false">
      <c r="A3" s="10" t="s">
        <v>181</v>
      </c>
      <c r="B3" s="10" t="s">
        <v>29</v>
      </c>
      <c r="C3" s="10" t="s">
        <v>182</v>
      </c>
      <c r="D3" s="12" t="n">
        <v>0.4</v>
      </c>
      <c r="E3" s="11" t="n">
        <v>25000</v>
      </c>
      <c r="F3" s="10" t="s">
        <v>180</v>
      </c>
      <c r="G3" s="10" t="s">
        <v>32</v>
      </c>
    </row>
    <row r="4" customFormat="false" ht="15" hidden="false" customHeight="false" outlineLevel="0" collapsed="false">
      <c r="A4" s="10" t="s">
        <v>183</v>
      </c>
      <c r="B4" s="10" t="s">
        <v>35</v>
      </c>
      <c r="C4" s="10" t="s">
        <v>184</v>
      </c>
      <c r="D4" s="12" t="n">
        <v>0.5</v>
      </c>
      <c r="E4" s="11" t="n">
        <v>60000</v>
      </c>
      <c r="F4" s="10" t="s">
        <v>180</v>
      </c>
      <c r="G4" s="10" t="s">
        <v>37</v>
      </c>
    </row>
    <row r="5" customFormat="false" ht="15" hidden="false" customHeight="false" outlineLevel="0" collapsed="false">
      <c r="A5" s="10" t="s">
        <v>185</v>
      </c>
      <c r="B5" s="10" t="s">
        <v>35</v>
      </c>
      <c r="C5" s="10" t="s">
        <v>186</v>
      </c>
      <c r="D5" s="12" t="n">
        <v>0.3</v>
      </c>
      <c r="E5" s="11" t="n">
        <v>45000</v>
      </c>
      <c r="F5" s="10" t="s">
        <v>180</v>
      </c>
      <c r="G5" s="10" t="s">
        <v>90</v>
      </c>
    </row>
    <row r="6" customFormat="false" ht="15" hidden="false" customHeight="false" outlineLevel="0" collapsed="false">
      <c r="A6" s="10" t="s">
        <v>187</v>
      </c>
      <c r="B6" s="10" t="s">
        <v>38</v>
      </c>
      <c r="C6" s="10" t="s">
        <v>188</v>
      </c>
      <c r="D6" s="12" t="n">
        <v>0.2</v>
      </c>
      <c r="E6" s="11" t="n">
        <v>15000</v>
      </c>
      <c r="F6" s="10" t="s">
        <v>189</v>
      </c>
      <c r="G6" s="10" t="s">
        <v>87</v>
      </c>
    </row>
    <row r="7" customFormat="false" ht="15" hidden="false" customHeight="false" outlineLevel="0" collapsed="false">
      <c r="A7" s="10" t="s">
        <v>190</v>
      </c>
      <c r="B7" s="10" t="s">
        <v>44</v>
      </c>
      <c r="C7" s="10" t="s">
        <v>191</v>
      </c>
      <c r="D7" s="12" t="n">
        <v>0.7</v>
      </c>
      <c r="E7" s="11" t="n">
        <v>150000</v>
      </c>
      <c r="F7" s="10" t="s">
        <v>180</v>
      </c>
      <c r="G7" s="10" t="s">
        <v>37</v>
      </c>
    </row>
    <row r="8" customFormat="false" ht="15" hidden="false" customHeight="false" outlineLevel="0" collapsed="false">
      <c r="A8" s="10" t="s">
        <v>192</v>
      </c>
      <c r="B8" s="10" t="s">
        <v>44</v>
      </c>
      <c r="C8" s="10" t="s">
        <v>193</v>
      </c>
      <c r="D8" s="12" t="n">
        <v>0.5</v>
      </c>
      <c r="E8" s="11" t="n">
        <v>90000</v>
      </c>
      <c r="F8" s="10" t="s">
        <v>180</v>
      </c>
      <c r="G8" s="10" t="s">
        <v>87</v>
      </c>
    </row>
    <row r="9" customFormat="false" ht="15" hidden="false" customHeight="false" outlineLevel="0" collapsed="false">
      <c r="A9" s="10" t="s">
        <v>194</v>
      </c>
      <c r="B9" s="10" t="s">
        <v>47</v>
      </c>
      <c r="C9" s="10" t="s">
        <v>195</v>
      </c>
      <c r="D9" s="12" t="n">
        <v>0.4</v>
      </c>
      <c r="E9" s="11" t="n">
        <v>10000</v>
      </c>
      <c r="F9" s="10" t="s">
        <v>180</v>
      </c>
      <c r="G9" s="10" t="s">
        <v>106</v>
      </c>
    </row>
    <row r="10" customFormat="false" ht="15" hidden="false" customHeight="false" outlineLevel="0" collapsed="false">
      <c r="A10" s="10" t="s">
        <v>196</v>
      </c>
      <c r="B10" s="10" t="s">
        <v>51</v>
      </c>
      <c r="C10" s="10" t="s">
        <v>197</v>
      </c>
      <c r="D10" s="12" t="n">
        <v>0.3</v>
      </c>
      <c r="E10" s="11" t="n">
        <v>50000</v>
      </c>
      <c r="F10" s="10" t="s">
        <v>189</v>
      </c>
      <c r="G10" s="10" t="s">
        <v>54</v>
      </c>
    </row>
    <row r="11" customFormat="false" ht="15" hidden="false" customHeight="false" outlineLevel="0" collapsed="false">
      <c r="A11" s="10" t="s">
        <v>198</v>
      </c>
      <c r="B11" s="10" t="s">
        <v>51</v>
      </c>
      <c r="C11" s="10" t="s">
        <v>199</v>
      </c>
      <c r="D11" s="12" t="n">
        <v>0.6</v>
      </c>
      <c r="E11" s="11" t="n">
        <v>35000</v>
      </c>
      <c r="F11" s="10" t="s">
        <v>180</v>
      </c>
      <c r="G11" s="10" t="s">
        <v>54</v>
      </c>
    </row>
    <row r="12" customFormat="false" ht="15" hidden="false" customHeight="false" outlineLevel="0" collapsed="false">
      <c r="A12" s="10" t="s">
        <v>200</v>
      </c>
      <c r="B12" s="10" t="s">
        <v>56</v>
      </c>
      <c r="C12" s="10" t="s">
        <v>201</v>
      </c>
      <c r="D12" s="12" t="n">
        <v>0.5</v>
      </c>
      <c r="E12" s="11" t="n">
        <v>8000</v>
      </c>
      <c r="F12" s="10" t="s">
        <v>180</v>
      </c>
      <c r="G12" s="10" t="s">
        <v>32</v>
      </c>
    </row>
    <row r="13" customFormat="false" ht="15" hidden="false" customHeight="false" outlineLevel="0" collapsed="false">
      <c r="A13" s="10" t="s">
        <v>202</v>
      </c>
      <c r="B13" s="10" t="s">
        <v>60</v>
      </c>
      <c r="C13" s="10" t="s">
        <v>203</v>
      </c>
      <c r="D13" s="12" t="n">
        <v>0.2</v>
      </c>
      <c r="E13" s="11" t="n">
        <v>12000</v>
      </c>
      <c r="F13" s="10" t="s">
        <v>189</v>
      </c>
      <c r="G13" s="10" t="s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11"/>
    <col collapsed="false" customWidth="true" hidden="false" outlineLevel="0" max="4" min="4" style="0" width="7"/>
    <col collapsed="false" customWidth="true" hidden="false" outlineLevel="0" max="5" min="5" style="0" width="13"/>
    <col collapsed="false" customWidth="true" hidden="false" outlineLevel="0" max="6" min="6" style="0" width="100"/>
  </cols>
  <sheetData>
    <row r="1" customFormat="false" ht="15" hidden="false" customHeight="false" outlineLevel="0" collapsed="false">
      <c r="A1" s="17" t="s">
        <v>204</v>
      </c>
      <c r="B1" s="17" t="s">
        <v>205</v>
      </c>
      <c r="C1" s="17" t="s">
        <v>206</v>
      </c>
      <c r="D1" s="17" t="s">
        <v>207</v>
      </c>
      <c r="E1" s="17" t="s">
        <v>208</v>
      </c>
      <c r="F1" s="17" t="s">
        <v>209</v>
      </c>
    </row>
    <row r="2" customFormat="false" ht="26.85" hidden="false" customHeight="false" outlineLevel="0" collapsed="false">
      <c r="A2" s="18" t="n">
        <v>1</v>
      </c>
      <c r="B2" s="18" t="s">
        <v>210</v>
      </c>
      <c r="C2" s="18" t="s">
        <v>211</v>
      </c>
      <c r="D2" s="18" t="s">
        <v>212</v>
      </c>
      <c r="E2" s="18" t="s">
        <v>213</v>
      </c>
      <c r="F2" s="18" t="s">
        <v>214</v>
      </c>
    </row>
    <row r="3" customFormat="false" ht="15" hidden="false" customHeight="false" outlineLevel="0" collapsed="false">
      <c r="A3" s="18" t="n">
        <v>2</v>
      </c>
      <c r="B3" s="18" t="s">
        <v>215</v>
      </c>
      <c r="C3" s="18" t="s">
        <v>211</v>
      </c>
      <c r="D3" s="18" t="s">
        <v>216</v>
      </c>
      <c r="E3" s="18" t="s">
        <v>213</v>
      </c>
      <c r="F3" s="18" t="s">
        <v>217</v>
      </c>
    </row>
    <row r="4" customFormat="false" ht="26.85" hidden="false" customHeight="false" outlineLevel="0" collapsed="false">
      <c r="A4" s="18" t="n">
        <v>3</v>
      </c>
      <c r="B4" s="18" t="s">
        <v>218</v>
      </c>
      <c r="C4" s="18" t="s">
        <v>211</v>
      </c>
      <c r="D4" s="18" t="s">
        <v>219</v>
      </c>
      <c r="E4" s="18" t="s">
        <v>213</v>
      </c>
      <c r="F4" s="18" t="s">
        <v>220</v>
      </c>
    </row>
    <row r="5" customFormat="false" ht="26.85" hidden="false" customHeight="false" outlineLevel="0" collapsed="false">
      <c r="A5" s="18" t="n">
        <v>4</v>
      </c>
      <c r="B5" s="18" t="s">
        <v>221</v>
      </c>
      <c r="C5" s="18" t="s">
        <v>211</v>
      </c>
      <c r="D5" s="18" t="s">
        <v>222</v>
      </c>
      <c r="E5" s="18" t="s">
        <v>213</v>
      </c>
      <c r="F5" s="18" t="s">
        <v>223</v>
      </c>
    </row>
    <row r="6" customFormat="false" ht="15" hidden="false" customHeight="false" outlineLevel="0" collapsed="false">
      <c r="A6" s="18" t="n">
        <v>5</v>
      </c>
      <c r="B6" s="18" t="s">
        <v>224</v>
      </c>
      <c r="C6" s="18" t="s">
        <v>211</v>
      </c>
      <c r="D6" s="18" t="s">
        <v>225</v>
      </c>
      <c r="E6" s="18" t="s">
        <v>213</v>
      </c>
      <c r="F6" s="18" t="s">
        <v>226</v>
      </c>
    </row>
    <row r="7" customFormat="false" ht="26.85" hidden="false" customHeight="false" outlineLevel="0" collapsed="false">
      <c r="A7" s="18" t="n">
        <v>6</v>
      </c>
      <c r="B7" s="18" t="s">
        <v>227</v>
      </c>
      <c r="C7" s="18" t="s">
        <v>211</v>
      </c>
      <c r="D7" s="18" t="s">
        <v>228</v>
      </c>
      <c r="E7" s="18" t="s">
        <v>213</v>
      </c>
      <c r="F7" s="18" t="s">
        <v>229</v>
      </c>
    </row>
    <row r="8" customFormat="false" ht="15" hidden="false" customHeight="false" outlineLevel="0" collapsed="false">
      <c r="A8" s="18" t="n">
        <v>7</v>
      </c>
      <c r="B8" s="18" t="s">
        <v>27</v>
      </c>
      <c r="C8" s="18" t="s">
        <v>211</v>
      </c>
      <c r="D8" s="18" t="s">
        <v>230</v>
      </c>
      <c r="E8" s="18" t="s">
        <v>213</v>
      </c>
      <c r="F8" s="18" t="s">
        <v>231</v>
      </c>
    </row>
    <row r="9" customFormat="false" ht="26.85" hidden="false" customHeight="false" outlineLevel="0" collapsed="false">
      <c r="A9" s="18" t="n">
        <v>8</v>
      </c>
      <c r="B9" s="18" t="s">
        <v>232</v>
      </c>
      <c r="C9" s="18" t="s">
        <v>211</v>
      </c>
      <c r="D9" s="18" t="s">
        <v>233</v>
      </c>
      <c r="E9" s="18" t="s">
        <v>213</v>
      </c>
      <c r="F9" s="18" t="s">
        <v>234</v>
      </c>
    </row>
    <row r="10" customFormat="false" ht="15" hidden="false" customHeight="false" outlineLevel="0" collapsed="false">
      <c r="A10" s="18" t="n">
        <v>9</v>
      </c>
      <c r="B10" s="18" t="s">
        <v>235</v>
      </c>
      <c r="C10" s="18" t="s">
        <v>211</v>
      </c>
      <c r="D10" s="18" t="s">
        <v>236</v>
      </c>
      <c r="E10" s="18"/>
      <c r="F10" s="18" t="s">
        <v>237</v>
      </c>
    </row>
    <row r="11" customFormat="false" ht="15" hidden="false" customHeight="false" outlineLevel="0" collapsed="false">
      <c r="A11" s="18" t="n">
        <v>10</v>
      </c>
      <c r="B11" s="18" t="s">
        <v>238</v>
      </c>
      <c r="C11" s="18" t="s">
        <v>211</v>
      </c>
      <c r="D11" s="18" t="s">
        <v>239</v>
      </c>
      <c r="E11" s="18"/>
      <c r="F11" s="18" t="s">
        <v>240</v>
      </c>
    </row>
    <row r="12" customFormat="false" ht="15" hidden="false" customHeight="false" outlineLevel="0" collapsed="false">
      <c r="A12" s="18" t="n">
        <v>11</v>
      </c>
      <c r="B12" s="18" t="s">
        <v>241</v>
      </c>
      <c r="C12" s="18" t="s">
        <v>211</v>
      </c>
      <c r="D12" s="18" t="s">
        <v>242</v>
      </c>
      <c r="E12" s="18"/>
      <c r="F12" s="18" t="s">
        <v>243</v>
      </c>
    </row>
    <row r="13" customFormat="false" ht="15" hidden="false" customHeight="false" outlineLevel="0" collapsed="false">
      <c r="A13" s="18" t="n">
        <v>12</v>
      </c>
      <c r="B13" s="18" t="s">
        <v>244</v>
      </c>
      <c r="C13" s="18" t="s">
        <v>211</v>
      </c>
      <c r="D13" s="18" t="s">
        <v>245</v>
      </c>
      <c r="E13" s="18"/>
      <c r="F13" s="18" t="s">
        <v>246</v>
      </c>
    </row>
    <row r="14" customFormat="false" ht="15" hidden="false" customHeight="false" outlineLevel="0" collapsed="false">
      <c r="A14" s="18" t="n">
        <v>13</v>
      </c>
      <c r="B14" s="18" t="s">
        <v>247</v>
      </c>
      <c r="C14" s="18" t="s">
        <v>211</v>
      </c>
      <c r="D14" s="18" t="s">
        <v>248</v>
      </c>
      <c r="E14" s="18"/>
      <c r="F14" s="18" t="s">
        <v>249</v>
      </c>
    </row>
    <row r="15" customFormat="false" ht="26.85" hidden="false" customHeight="false" outlineLevel="0" collapsed="false">
      <c r="A15" s="18" t="n">
        <v>14</v>
      </c>
      <c r="B15" s="18" t="s">
        <v>66</v>
      </c>
      <c r="C15" s="18" t="s">
        <v>211</v>
      </c>
      <c r="D15" s="18" t="s">
        <v>250</v>
      </c>
      <c r="E15" s="18"/>
      <c r="F15" s="18" t="s">
        <v>251</v>
      </c>
    </row>
    <row r="16" customFormat="false" ht="15" hidden="false" customHeight="false" outlineLevel="0" collapsed="false">
      <c r="A16" s="18" t="n">
        <v>15</v>
      </c>
      <c r="B16" s="18" t="s">
        <v>67</v>
      </c>
      <c r="C16" s="18" t="s">
        <v>211</v>
      </c>
      <c r="D16" s="18" t="s">
        <v>252</v>
      </c>
      <c r="E16" s="18"/>
      <c r="F16" s="18" t="s">
        <v>253</v>
      </c>
    </row>
    <row r="17" customFormat="false" ht="15" hidden="false" customHeight="false" outlineLevel="0" collapsed="false">
      <c r="A17" s="18" t="n">
        <v>16</v>
      </c>
      <c r="B17" s="18" t="s">
        <v>254</v>
      </c>
      <c r="C17" s="18" t="s">
        <v>211</v>
      </c>
      <c r="D17" s="18" t="s">
        <v>255</v>
      </c>
      <c r="E17" s="18"/>
      <c r="F17" s="18" t="s">
        <v>256</v>
      </c>
    </row>
    <row r="18" customFormat="false" ht="15" hidden="false" customHeight="false" outlineLevel="0" collapsed="false">
      <c r="A18" s="18" t="n">
        <v>17</v>
      </c>
      <c r="B18" s="18" t="s">
        <v>257</v>
      </c>
      <c r="C18" s="18" t="s">
        <v>211</v>
      </c>
      <c r="D18" s="18" t="s">
        <v>258</v>
      </c>
      <c r="E18" s="18"/>
      <c r="F18" s="18" t="s">
        <v>259</v>
      </c>
    </row>
    <row r="19" customFormat="false" ht="26.85" hidden="false" customHeight="false" outlineLevel="0" collapsed="false">
      <c r="A19" s="18" t="n">
        <v>18</v>
      </c>
      <c r="B19" s="18" t="s">
        <v>260</v>
      </c>
      <c r="C19" s="18" t="s">
        <v>211</v>
      </c>
      <c r="D19" s="18" t="s">
        <v>261</v>
      </c>
      <c r="E19" s="18"/>
      <c r="F19" s="18" t="s">
        <v>262</v>
      </c>
    </row>
    <row r="20" customFormat="false" ht="26.85" hidden="false" customHeight="false" outlineLevel="0" collapsed="false">
      <c r="A20" s="18" t="n">
        <v>19</v>
      </c>
      <c r="B20" s="18" t="s">
        <v>77</v>
      </c>
      <c r="C20" s="18" t="s">
        <v>263</v>
      </c>
      <c r="D20" s="18" t="s">
        <v>264</v>
      </c>
      <c r="E20" s="18" t="s">
        <v>265</v>
      </c>
      <c r="F20" s="18" t="s">
        <v>266</v>
      </c>
    </row>
    <row r="21" customFormat="false" ht="26.85" hidden="false" customHeight="false" outlineLevel="0" collapsed="false">
      <c r="A21" s="18" t="n">
        <v>20</v>
      </c>
      <c r="B21" s="18" t="s">
        <v>267</v>
      </c>
      <c r="C21" s="18" t="s">
        <v>263</v>
      </c>
      <c r="D21" s="18" t="s">
        <v>268</v>
      </c>
      <c r="E21" s="18" t="s">
        <v>265</v>
      </c>
      <c r="F21" s="18" t="s">
        <v>269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2"/>
    <col collapsed="false" customWidth="true" hidden="false" outlineLevel="0" max="3" min="3" style="0" width="16"/>
    <col collapsed="false" customWidth="true" hidden="false" outlineLevel="0" max="4" min="4" style="0" width="80"/>
  </cols>
  <sheetData>
    <row r="1" customFormat="false" ht="15" hidden="false" customHeight="false" outlineLevel="0" collapsed="false">
      <c r="A1" s="17" t="s">
        <v>204</v>
      </c>
      <c r="B1" s="17" t="s">
        <v>205</v>
      </c>
      <c r="C1" s="17" t="s">
        <v>207</v>
      </c>
      <c r="D1" s="17" t="s">
        <v>270</v>
      </c>
    </row>
    <row r="2" customFormat="false" ht="15" hidden="false" customHeight="false" outlineLevel="0" collapsed="false">
      <c r="A2" s="3" t="n">
        <v>1</v>
      </c>
      <c r="B2" s="3" t="s">
        <v>210</v>
      </c>
      <c r="C2" s="3" t="s">
        <v>271</v>
      </c>
      <c r="D2" s="3" t="s">
        <v>272</v>
      </c>
    </row>
    <row r="3" customFormat="false" ht="15" hidden="false" customHeight="false" outlineLevel="0" collapsed="false">
      <c r="A3" s="3" t="n">
        <v>2</v>
      </c>
      <c r="B3" s="3" t="s">
        <v>215</v>
      </c>
      <c r="C3" s="3" t="s">
        <v>273</v>
      </c>
      <c r="D3" s="3" t="s">
        <v>274</v>
      </c>
    </row>
    <row r="4" customFormat="false" ht="15" hidden="false" customHeight="false" outlineLevel="0" collapsed="false">
      <c r="A4" s="3" t="n">
        <v>3</v>
      </c>
      <c r="B4" s="3" t="s">
        <v>218</v>
      </c>
      <c r="C4" s="3" t="s">
        <v>275</v>
      </c>
      <c r="D4" s="3" t="s">
        <v>276</v>
      </c>
    </row>
    <row r="5" customFormat="false" ht="15" hidden="false" customHeight="false" outlineLevel="0" collapsed="false">
      <c r="A5" s="3" t="n">
        <v>4</v>
      </c>
      <c r="B5" s="3" t="s">
        <v>221</v>
      </c>
      <c r="C5" s="3" t="s">
        <v>277</v>
      </c>
      <c r="D5" s="3" t="s">
        <v>278</v>
      </c>
    </row>
    <row r="6" customFormat="false" ht="15" hidden="false" customHeight="false" outlineLevel="0" collapsed="false">
      <c r="A6" s="3" t="n">
        <v>5</v>
      </c>
      <c r="B6" s="3" t="s">
        <v>224</v>
      </c>
      <c r="C6" s="3" t="s">
        <v>279</v>
      </c>
      <c r="D6" s="3" t="s">
        <v>280</v>
      </c>
    </row>
    <row r="7" customFormat="false" ht="15" hidden="false" customHeight="false" outlineLevel="0" collapsed="false">
      <c r="A7" s="3" t="n">
        <v>6</v>
      </c>
      <c r="B7" s="3" t="s">
        <v>227</v>
      </c>
      <c r="C7" s="3" t="s">
        <v>281</v>
      </c>
      <c r="D7" s="3" t="s">
        <v>282</v>
      </c>
    </row>
    <row r="8" customFormat="false" ht="15" hidden="false" customHeight="false" outlineLevel="0" collapsed="false">
      <c r="A8" s="3" t="n">
        <v>7</v>
      </c>
      <c r="B8" s="3" t="s">
        <v>27</v>
      </c>
      <c r="C8" s="3" t="s">
        <v>283</v>
      </c>
      <c r="D8" s="3" t="s">
        <v>284</v>
      </c>
    </row>
    <row r="9" customFormat="false" ht="15" hidden="false" customHeight="false" outlineLevel="0" collapsed="false">
      <c r="A9" s="3" t="n">
        <v>8</v>
      </c>
      <c r="B9" s="3" t="s">
        <v>232</v>
      </c>
      <c r="C9" s="3" t="s">
        <v>285</v>
      </c>
      <c r="D9" s="3" t="s">
        <v>286</v>
      </c>
    </row>
    <row r="10" customFormat="false" ht="15" hidden="false" customHeight="false" outlineLevel="0" collapsed="false">
      <c r="A10" s="3" t="n">
        <v>9</v>
      </c>
      <c r="B10" s="3" t="s">
        <v>235</v>
      </c>
      <c r="C10" s="3" t="s">
        <v>287</v>
      </c>
      <c r="D10" s="3" t="s">
        <v>288</v>
      </c>
    </row>
    <row r="11" customFormat="false" ht="15" hidden="false" customHeight="false" outlineLevel="0" collapsed="false">
      <c r="A11" s="3" t="n">
        <v>10</v>
      </c>
      <c r="B11" s="3" t="s">
        <v>238</v>
      </c>
      <c r="C11" s="3" t="s">
        <v>289</v>
      </c>
      <c r="D11" s="3" t="s">
        <v>290</v>
      </c>
    </row>
    <row r="12" customFormat="false" ht="15" hidden="false" customHeight="false" outlineLevel="0" collapsed="false">
      <c r="A12" s="3" t="n">
        <v>11</v>
      </c>
      <c r="B12" s="3" t="s">
        <v>241</v>
      </c>
      <c r="C12" s="3" t="s">
        <v>291</v>
      </c>
      <c r="D12" s="3" t="s">
        <v>292</v>
      </c>
    </row>
    <row r="13" customFormat="false" ht="15" hidden="false" customHeight="false" outlineLevel="0" collapsed="false">
      <c r="A13" s="3" t="n">
        <v>12</v>
      </c>
      <c r="B13" s="3" t="s">
        <v>244</v>
      </c>
      <c r="C13" s="3" t="s">
        <v>293</v>
      </c>
      <c r="D13" s="3" t="s">
        <v>294</v>
      </c>
    </row>
    <row r="14" customFormat="false" ht="15" hidden="false" customHeight="false" outlineLevel="0" collapsed="false">
      <c r="A14" s="3" t="n">
        <v>13</v>
      </c>
      <c r="B14" s="3" t="s">
        <v>247</v>
      </c>
      <c r="C14" s="3" t="s">
        <v>295</v>
      </c>
      <c r="D14" s="3" t="s">
        <v>296</v>
      </c>
    </row>
    <row r="15" customFormat="false" ht="15" hidden="false" customHeight="false" outlineLevel="0" collapsed="false">
      <c r="A15" s="3" t="n">
        <v>14</v>
      </c>
      <c r="B15" s="3" t="s">
        <v>66</v>
      </c>
      <c r="C15" s="3" t="s">
        <v>297</v>
      </c>
      <c r="D15" s="3" t="s">
        <v>298</v>
      </c>
    </row>
    <row r="16" customFormat="false" ht="15" hidden="false" customHeight="false" outlineLevel="0" collapsed="false">
      <c r="A16" s="3" t="n">
        <v>15</v>
      </c>
      <c r="B16" s="3" t="s">
        <v>67</v>
      </c>
      <c r="C16" s="3" t="s">
        <v>299</v>
      </c>
      <c r="D16" s="3" t="s">
        <v>300</v>
      </c>
    </row>
    <row r="17" customFormat="false" ht="15" hidden="false" customHeight="false" outlineLevel="0" collapsed="false">
      <c r="A17" s="3" t="n">
        <v>16</v>
      </c>
      <c r="B17" s="3" t="s">
        <v>254</v>
      </c>
      <c r="C17" s="3" t="s">
        <v>301</v>
      </c>
      <c r="D17" s="3" t="s">
        <v>302</v>
      </c>
    </row>
    <row r="18" customFormat="false" ht="15" hidden="false" customHeight="false" outlineLevel="0" collapsed="false">
      <c r="A18" s="3" t="n">
        <v>17</v>
      </c>
      <c r="B18" s="3" t="s">
        <v>257</v>
      </c>
      <c r="C18" s="3" t="s">
        <v>303</v>
      </c>
      <c r="D18" s="3" t="s">
        <v>304</v>
      </c>
    </row>
    <row r="19" customFormat="false" ht="15" hidden="false" customHeight="false" outlineLevel="0" collapsed="false">
      <c r="A19" s="3" t="n">
        <v>18</v>
      </c>
      <c r="B19" s="3" t="s">
        <v>260</v>
      </c>
      <c r="C19" s="3" t="s">
        <v>305</v>
      </c>
      <c r="D19" s="3" t="s">
        <v>306</v>
      </c>
    </row>
    <row r="20" customFormat="false" ht="15" hidden="false" customHeight="false" outlineLevel="0" collapsed="false">
      <c r="A20" s="3" t="n">
        <v>19</v>
      </c>
      <c r="B20" s="3" t="s">
        <v>77</v>
      </c>
      <c r="C20" s="3" t="s">
        <v>307</v>
      </c>
      <c r="D20" s="3" t="s">
        <v>308</v>
      </c>
    </row>
    <row r="21" customFormat="false" ht="15" hidden="false" customHeight="false" outlineLevel="0" collapsed="false">
      <c r="A21" s="3" t="n">
        <v>20</v>
      </c>
      <c r="B21" s="3" t="s">
        <v>267</v>
      </c>
      <c r="C21" s="3" t="s">
        <v>309</v>
      </c>
      <c r="D21" s="3" t="s">
        <v>310</v>
      </c>
    </row>
    <row r="23" customFormat="false" ht="15" hidden="false" customHeight="false" outlineLevel="0" collapsed="false">
      <c r="A23" s="2" t="s">
        <v>311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9"/>
    <col collapsed="false" customWidth="true" hidden="false" outlineLevel="0" max="4" min="3" style="0" width="12"/>
    <col collapsed="false" customWidth="true" hidden="false" outlineLevel="0" max="5" min="5" style="0" width="13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8" min="8" style="0" width="18"/>
    <col collapsed="false" customWidth="true" hidden="false" outlineLevel="0" max="9" min="9" style="0" width="12"/>
    <col collapsed="false" customWidth="true" hidden="false" outlineLevel="0" max="10" min="10" style="0" width="11"/>
    <col collapsed="false" customWidth="true" hidden="false" outlineLevel="0" max="17" min="12" style="0" width="14"/>
    <col collapsed="false" customWidth="true" hidden="false" outlineLevel="0" max="18" min="18" style="0" width="16"/>
    <col collapsed="false" customWidth="true" hidden="false" outlineLevel="0" max="19" min="19" style="0" width="14"/>
  </cols>
  <sheetData>
    <row r="1" customFormat="false" ht="15" hidden="false" customHeight="false" outlineLevel="0" collapsed="false">
      <c r="A1" s="8" t="s">
        <v>11</v>
      </c>
      <c r="B1" s="8" t="s">
        <v>12</v>
      </c>
      <c r="C1" s="8" t="s">
        <v>13</v>
      </c>
      <c r="D1" s="8" t="s">
        <v>14</v>
      </c>
      <c r="E1" s="8" t="s">
        <v>15</v>
      </c>
      <c r="F1" s="8" t="s">
        <v>16</v>
      </c>
      <c r="G1" s="8" t="s">
        <v>17</v>
      </c>
      <c r="H1" s="8" t="s">
        <v>18</v>
      </c>
      <c r="I1" s="8" t="s">
        <v>19</v>
      </c>
      <c r="J1" s="8" t="s">
        <v>20</v>
      </c>
      <c r="L1" s="19" t="s">
        <v>21</v>
      </c>
      <c r="M1" s="19" t="s">
        <v>22</v>
      </c>
      <c r="N1" s="19" t="s">
        <v>23</v>
      </c>
      <c r="O1" s="19" t="s">
        <v>24</v>
      </c>
      <c r="P1" s="19" t="s">
        <v>25</v>
      </c>
      <c r="Q1" s="19" t="s">
        <v>26</v>
      </c>
      <c r="R1" s="19" t="s">
        <v>27</v>
      </c>
      <c r="S1" s="19" t="s">
        <v>28</v>
      </c>
    </row>
    <row r="2" customFormat="false" ht="15" hidden="false" customHeight="false" outlineLevel="0" collapsed="false">
      <c r="A2" s="10" t="s">
        <v>29</v>
      </c>
      <c r="B2" s="10" t="s">
        <v>30</v>
      </c>
      <c r="C2" s="10" t="s">
        <v>31</v>
      </c>
      <c r="D2" s="10" t="s">
        <v>32</v>
      </c>
      <c r="E2" s="10" t="s">
        <v>33</v>
      </c>
      <c r="F2" s="10" t="s">
        <v>34</v>
      </c>
      <c r="G2" s="11" t="n">
        <v>250000</v>
      </c>
      <c r="H2" s="11" t="n">
        <v>182000</v>
      </c>
      <c r="I2" s="12" t="n">
        <v>0.68</v>
      </c>
      <c r="J2" s="12" t="n">
        <v>0.75</v>
      </c>
      <c r="L2" s="20" t="n">
        <f aca="false">G2*I2</f>
        <v>170000</v>
      </c>
      <c r="M2" s="20" t="n">
        <f aca="false">G2*J2</f>
        <v>187500</v>
      </c>
      <c r="N2" s="20" t="n">
        <f aca="false">G2*I2-H2</f>
        <v>-12000</v>
      </c>
      <c r="O2" s="21" t="n">
        <f aca="false">IFERROR(G2*I2/H2,0)</f>
        <v>0.934065934065934</v>
      </c>
      <c r="P2" s="21" t="n">
        <f aca="false">IF(J2=0,1,I2/J2)</f>
        <v>0.906666666666667</v>
      </c>
      <c r="Q2" s="22" t="str">
        <f aca="false">IF(J2=0,"Green",IF(I2/J2&gt;=0.95,"Green",IF(I2/J2&gt;=0.85,"Amber","Red")))</f>
        <v>Amber</v>
      </c>
      <c r="R2" s="22" t="str">
        <f aca="false">IF(H2&gt;G2,"Over budget","Within budget")</f>
        <v>Within budget</v>
      </c>
      <c r="S2" s="22" t="str">
        <f aca="false">VLOOKUP(D2,Resources!$A$2:$E$11,2,FALSE())</f>
        <v>Aisha Khan</v>
      </c>
    </row>
    <row r="3" customFormat="false" ht="15" hidden="false" customHeight="false" outlineLevel="0" collapsed="false">
      <c r="A3" s="10" t="s">
        <v>35</v>
      </c>
      <c r="B3" s="10" t="s">
        <v>36</v>
      </c>
      <c r="C3" s="10" t="s">
        <v>31</v>
      </c>
      <c r="D3" s="10" t="s">
        <v>37</v>
      </c>
      <c r="E3" s="10" t="s">
        <v>33</v>
      </c>
      <c r="F3" s="10" t="s">
        <v>34</v>
      </c>
      <c r="G3" s="11" t="n">
        <v>480000</v>
      </c>
      <c r="H3" s="11" t="n">
        <v>265000</v>
      </c>
      <c r="I3" s="12" t="n">
        <v>0.52</v>
      </c>
      <c r="J3" s="12" t="n">
        <v>0.55</v>
      </c>
      <c r="L3" s="20" t="n">
        <f aca="false">G3*I3</f>
        <v>249600</v>
      </c>
      <c r="M3" s="20" t="n">
        <f aca="false">G3*J3</f>
        <v>264000</v>
      </c>
      <c r="N3" s="20" t="n">
        <f aca="false">G3*I3-H3</f>
        <v>-15400</v>
      </c>
      <c r="O3" s="21" t="n">
        <f aca="false">IFERROR(G3*I3/H3,0)</f>
        <v>0.94188679245283</v>
      </c>
      <c r="P3" s="21" t="n">
        <f aca="false">IF(J3=0,1,I3/J3)</f>
        <v>0.945454545454545</v>
      </c>
      <c r="Q3" s="22" t="str">
        <f aca="false">IF(J3=0,"Green",IF(I3/J3&gt;=0.95,"Green",IF(I3/J3&gt;=0.85,"Amber","Red")))</f>
        <v>Amber</v>
      </c>
      <c r="R3" s="22" t="str">
        <f aca="false">IF(H3&gt;G3,"Over budget","Within budget")</f>
        <v>Within budget</v>
      </c>
      <c r="S3" s="22" t="str">
        <f aca="false">VLOOKUP(D3,Resources!$A$2:$E$11,2,FALSE())</f>
        <v>Daniel Wong</v>
      </c>
    </row>
    <row r="4" customFormat="false" ht="15" hidden="false" customHeight="false" outlineLevel="0" collapsed="false">
      <c r="A4" s="10" t="s">
        <v>38</v>
      </c>
      <c r="B4" s="10" t="s">
        <v>39</v>
      </c>
      <c r="C4" s="10" t="s">
        <v>40</v>
      </c>
      <c r="D4" s="10" t="s">
        <v>41</v>
      </c>
      <c r="E4" s="10" t="s">
        <v>42</v>
      </c>
      <c r="F4" s="10" t="s">
        <v>43</v>
      </c>
      <c r="G4" s="11" t="n">
        <v>120000</v>
      </c>
      <c r="H4" s="11" t="n">
        <v>128500</v>
      </c>
      <c r="I4" s="12" t="n">
        <v>1</v>
      </c>
      <c r="J4" s="12" t="n">
        <v>1</v>
      </c>
      <c r="L4" s="20" t="n">
        <f aca="false">G4*I4</f>
        <v>120000</v>
      </c>
      <c r="M4" s="20" t="n">
        <f aca="false">G4*J4</f>
        <v>120000</v>
      </c>
      <c r="N4" s="20" t="n">
        <f aca="false">G4*I4-H4</f>
        <v>-8500</v>
      </c>
      <c r="O4" s="21" t="n">
        <f aca="false">IFERROR(G4*I4/H4,0)</f>
        <v>0.933852140077821</v>
      </c>
      <c r="P4" s="21" t="n">
        <f aca="false">IF(J4=0,1,I4/J4)</f>
        <v>1</v>
      </c>
      <c r="Q4" s="22" t="str">
        <f aca="false">IF(J4=0,"Green",IF(I4/J4&gt;=0.95,"Green",IF(I4/J4&gt;=0.85,"Amber","Red")))</f>
        <v>Green</v>
      </c>
      <c r="R4" s="22" t="str">
        <f aca="false">IF(H4&gt;G4,"Over budget","Within budget")</f>
        <v>Over budget</v>
      </c>
      <c r="S4" s="22" t="str">
        <f aca="false">VLOOKUP(D4,Resources!$A$2:$E$11,2,FALSE())</f>
        <v>Maria Lopez</v>
      </c>
    </row>
    <row r="5" customFormat="false" ht="15" hidden="false" customHeight="false" outlineLevel="0" collapsed="false">
      <c r="A5" s="10" t="s">
        <v>44</v>
      </c>
      <c r="B5" s="10" t="s">
        <v>45</v>
      </c>
      <c r="C5" s="10" t="s">
        <v>46</v>
      </c>
      <c r="D5" s="10" t="s">
        <v>37</v>
      </c>
      <c r="E5" s="10" t="s">
        <v>33</v>
      </c>
      <c r="F5" s="10" t="s">
        <v>34</v>
      </c>
      <c r="G5" s="11" t="n">
        <v>900000</v>
      </c>
      <c r="H5" s="11" t="n">
        <v>410000</v>
      </c>
      <c r="I5" s="12" t="n">
        <v>0.4</v>
      </c>
      <c r="J5" s="12" t="n">
        <v>0.48</v>
      </c>
      <c r="L5" s="20" t="n">
        <f aca="false">G5*I5</f>
        <v>360000</v>
      </c>
      <c r="M5" s="20" t="n">
        <f aca="false">G5*J5</f>
        <v>432000</v>
      </c>
      <c r="N5" s="20" t="n">
        <f aca="false">G5*I5-H5</f>
        <v>-50000</v>
      </c>
      <c r="O5" s="21" t="n">
        <f aca="false">IFERROR(G5*I5/H5,0)</f>
        <v>0.878048780487805</v>
      </c>
      <c r="P5" s="21" t="n">
        <f aca="false">IF(J5=0,1,I5/J5)</f>
        <v>0.833333333333333</v>
      </c>
      <c r="Q5" s="22" t="str">
        <f aca="false">IF(J5=0,"Green",IF(I5/J5&gt;=0.95,"Green",IF(I5/J5&gt;=0.85,"Amber","Red")))</f>
        <v>Red</v>
      </c>
      <c r="R5" s="22" t="str">
        <f aca="false">IF(H5&gt;G5,"Over budget","Within budget")</f>
        <v>Within budget</v>
      </c>
      <c r="S5" s="22" t="str">
        <f aca="false">VLOOKUP(D5,Resources!$A$2:$E$11,2,FALSE())</f>
        <v>Daniel Wong</v>
      </c>
    </row>
    <row r="6" customFormat="false" ht="15" hidden="false" customHeight="false" outlineLevel="0" collapsed="false">
      <c r="A6" s="10" t="s">
        <v>47</v>
      </c>
      <c r="B6" s="10" t="s">
        <v>48</v>
      </c>
      <c r="C6" s="10" t="s">
        <v>49</v>
      </c>
      <c r="D6" s="10" t="s">
        <v>50</v>
      </c>
      <c r="E6" s="10" t="s">
        <v>33</v>
      </c>
      <c r="F6" s="10" t="s">
        <v>43</v>
      </c>
      <c r="G6" s="11" t="n">
        <v>95000</v>
      </c>
      <c r="H6" s="11" t="n">
        <v>61000</v>
      </c>
      <c r="I6" s="12" t="n">
        <v>0.7</v>
      </c>
      <c r="J6" s="12" t="n">
        <v>0.65</v>
      </c>
      <c r="L6" s="20" t="n">
        <f aca="false">G6*I6</f>
        <v>66500</v>
      </c>
      <c r="M6" s="20" t="n">
        <f aca="false">G6*J6</f>
        <v>61750</v>
      </c>
      <c r="N6" s="20" t="n">
        <f aca="false">G6*I6-H6</f>
        <v>5500</v>
      </c>
      <c r="O6" s="21" t="n">
        <f aca="false">IFERROR(G6*I6/H6,0)</f>
        <v>1.09016393442623</v>
      </c>
      <c r="P6" s="21" t="n">
        <f aca="false">IF(J6=0,1,I6/J6)</f>
        <v>1.07692307692308</v>
      </c>
      <c r="Q6" s="22" t="str">
        <f aca="false">IF(J6=0,"Green",IF(I6/J6&gt;=0.95,"Green",IF(I6/J6&gt;=0.85,"Amber","Red")))</f>
        <v>Green</v>
      </c>
      <c r="R6" s="22" t="str">
        <f aca="false">IF(H6&gt;G6,"Over budget","Within budget")</f>
        <v>Within budget</v>
      </c>
      <c r="S6" s="22" t="str">
        <f aca="false">VLOOKUP(D6,Resources!$A$2:$E$11,2,FALSE())</f>
        <v>Priya Patel</v>
      </c>
    </row>
    <row r="7" customFormat="false" ht="15" hidden="false" customHeight="false" outlineLevel="0" collapsed="false">
      <c r="A7" s="10" t="s">
        <v>51</v>
      </c>
      <c r="B7" s="10" t="s">
        <v>52</v>
      </c>
      <c r="C7" s="10" t="s">
        <v>53</v>
      </c>
      <c r="D7" s="10" t="s">
        <v>54</v>
      </c>
      <c r="E7" s="10" t="s">
        <v>55</v>
      </c>
      <c r="F7" s="10" t="s">
        <v>43</v>
      </c>
      <c r="G7" s="11" t="n">
        <v>210000</v>
      </c>
      <c r="H7" s="11" t="n">
        <v>150000</v>
      </c>
      <c r="I7" s="12" t="n">
        <v>0.55</v>
      </c>
      <c r="J7" s="12" t="n">
        <v>0.7</v>
      </c>
      <c r="L7" s="20" t="n">
        <f aca="false">G7*I7</f>
        <v>115500</v>
      </c>
      <c r="M7" s="20" t="n">
        <f aca="false">G7*J7</f>
        <v>147000</v>
      </c>
      <c r="N7" s="20" t="n">
        <f aca="false">G7*I7-H7</f>
        <v>-34500</v>
      </c>
      <c r="O7" s="21" t="n">
        <f aca="false">IFERROR(G7*I7/H7,0)</f>
        <v>0.77</v>
      </c>
      <c r="P7" s="21" t="n">
        <f aca="false">IF(J7=0,1,I7/J7)</f>
        <v>0.785714285714286</v>
      </c>
      <c r="Q7" s="22" t="str">
        <f aca="false">IF(J7=0,"Green",IF(I7/J7&gt;=0.95,"Green",IF(I7/J7&gt;=0.85,"Amber","Red")))</f>
        <v>Red</v>
      </c>
      <c r="R7" s="22" t="str">
        <f aca="false">IF(H7&gt;G7,"Over budget","Within budget")</f>
        <v>Within budget</v>
      </c>
      <c r="S7" s="22" t="str">
        <f aca="false">VLOOKUP(D7,Resources!$A$2:$E$11,2,FALSE())</f>
        <v>Tom Becker</v>
      </c>
    </row>
    <row r="8" customFormat="false" ht="15" hidden="false" customHeight="false" outlineLevel="0" collapsed="false">
      <c r="A8" s="10" t="s">
        <v>56</v>
      </c>
      <c r="B8" s="10" t="s">
        <v>57</v>
      </c>
      <c r="C8" s="10" t="s">
        <v>31</v>
      </c>
      <c r="D8" s="10" t="s">
        <v>32</v>
      </c>
      <c r="E8" s="10" t="s">
        <v>58</v>
      </c>
      <c r="F8" s="10" t="s">
        <v>59</v>
      </c>
      <c r="G8" s="11" t="n">
        <v>60000</v>
      </c>
      <c r="H8" s="11" t="n">
        <v>0</v>
      </c>
      <c r="I8" s="12" t="n">
        <v>0</v>
      </c>
      <c r="J8" s="12" t="n">
        <v>0.1</v>
      </c>
      <c r="L8" s="20" t="n">
        <f aca="false">G8*I8</f>
        <v>0</v>
      </c>
      <c r="M8" s="20" t="n">
        <f aca="false">G8*J8</f>
        <v>6000</v>
      </c>
      <c r="N8" s="20" t="n">
        <f aca="false">G8*I8-H8</f>
        <v>0</v>
      </c>
      <c r="O8" s="21" t="n">
        <f aca="false">IFERROR(G8*I8/H8,0)</f>
        <v>0</v>
      </c>
      <c r="P8" s="21" t="n">
        <f aca="false">IF(J8=0,1,I8/J8)</f>
        <v>0</v>
      </c>
      <c r="Q8" s="22" t="str">
        <f aca="false">IF(J8=0,"Green",IF(I8/J8&gt;=0.95,"Green",IF(I8/J8&gt;=0.85,"Amber","Red")))</f>
        <v>Red</v>
      </c>
      <c r="R8" s="22" t="str">
        <f aca="false">IF(H8&gt;G8,"Over budget","Within budget")</f>
        <v>Within budget</v>
      </c>
      <c r="S8" s="22" t="str">
        <f aca="false">VLOOKUP(D8,Resources!$A$2:$E$11,2,FALSE())</f>
        <v>Aisha Khan</v>
      </c>
    </row>
    <row r="9" customFormat="false" ht="15" hidden="false" customHeight="false" outlineLevel="0" collapsed="false">
      <c r="A9" s="10" t="s">
        <v>60</v>
      </c>
      <c r="B9" s="10" t="s">
        <v>61</v>
      </c>
      <c r="C9" s="10" t="s">
        <v>62</v>
      </c>
      <c r="D9" s="10" t="s">
        <v>50</v>
      </c>
      <c r="E9" s="10" t="s">
        <v>42</v>
      </c>
      <c r="F9" s="10" t="s">
        <v>59</v>
      </c>
      <c r="G9" s="11" t="n">
        <v>75000</v>
      </c>
      <c r="H9" s="11" t="n">
        <v>71200</v>
      </c>
      <c r="I9" s="12" t="n">
        <v>1</v>
      </c>
      <c r="J9" s="12" t="n">
        <v>1</v>
      </c>
      <c r="L9" s="20" t="n">
        <f aca="false">G9*I9</f>
        <v>75000</v>
      </c>
      <c r="M9" s="20" t="n">
        <f aca="false">G9*J9</f>
        <v>75000</v>
      </c>
      <c r="N9" s="20" t="n">
        <f aca="false">G9*I9-H9</f>
        <v>3800</v>
      </c>
      <c r="O9" s="21" t="n">
        <f aca="false">IFERROR(G9*I9/H9,0)</f>
        <v>1.05337078651685</v>
      </c>
      <c r="P9" s="21" t="n">
        <f aca="false">IF(J9=0,1,I9/J9)</f>
        <v>1</v>
      </c>
      <c r="Q9" s="22" t="str">
        <f aca="false">IF(J9=0,"Green",IF(I9/J9&gt;=0.95,"Green",IF(I9/J9&gt;=0.85,"Amber","Red")))</f>
        <v>Green</v>
      </c>
      <c r="R9" s="22" t="str">
        <f aca="false">IF(H9&gt;G9,"Over budget","Within budget")</f>
        <v>Within budget</v>
      </c>
      <c r="S9" s="22" t="str">
        <f aca="false">VLOOKUP(D9,Resources!$A$2:$E$11,2,FALSE())</f>
        <v>Priya Patel</v>
      </c>
    </row>
    <row r="11" customFormat="false" ht="15" hidden="false" customHeight="false" outlineLevel="0" collapsed="false">
      <c r="A11" s="4" t="s">
        <v>63</v>
      </c>
      <c r="G11" s="20" t="n">
        <f aca="false">SUM(G2:G9)</f>
        <v>2190000</v>
      </c>
      <c r="H11" s="20" t="n">
        <f aca="false">SUM(H2:H9)</f>
        <v>1267700</v>
      </c>
      <c r="I11" s="23" t="n">
        <f aca="false">AVERAGE(I2:I9)</f>
        <v>0.60625</v>
      </c>
    </row>
    <row r="13" customFormat="false" ht="15" hidden="false" customHeight="false" outlineLevel="0" collapsed="false">
      <c r="A13" s="4" t="s">
        <v>64</v>
      </c>
      <c r="B13" s="22" t="n">
        <f aca="false">COUNTIF(E2:E9,"In Progress")</f>
        <v>4</v>
      </c>
    </row>
    <row r="14" customFormat="false" ht="15" hidden="false" customHeight="false" outlineLevel="0" collapsed="false">
      <c r="A14" s="4" t="s">
        <v>65</v>
      </c>
      <c r="B14" s="20" t="n">
        <f aca="false">SUMIF(F2:F9,"High",G2:G9)</f>
        <v>1630000</v>
      </c>
    </row>
    <row r="15" customFormat="false" ht="15" hidden="false" customHeight="false" outlineLevel="0" collapsed="false">
      <c r="A15" s="4" t="s">
        <v>66</v>
      </c>
      <c r="B15" s="21" t="n">
        <f aca="false">SUMPRODUCT(G2:G9,I2:I9)/SUM(H2:H9)</f>
        <v>0.912360968683442</v>
      </c>
    </row>
    <row r="16" customFormat="false" ht="15" hidden="false" customHeight="false" outlineLevel="0" collapsed="false">
      <c r="A16" s="4" t="s">
        <v>67</v>
      </c>
      <c r="B16" s="22" t="n">
        <f aca="false">COUNTIF(Tasks!G2:G32,"Blocked")</f>
        <v>2</v>
      </c>
    </row>
    <row r="17" customFormat="false" ht="15" hidden="false" customHeight="false" outlineLevel="0" collapsed="false">
      <c r="A17" s="4" t="s">
        <v>68</v>
      </c>
      <c r="B17" s="22" t="n">
        <f aca="false">SUMIFS(Tasks!E2:E32,Tasks!B2:B32,"P04")</f>
        <v>1670</v>
      </c>
    </row>
    <row r="18" customFormat="false" ht="15" hidden="false" customHeight="false" outlineLevel="0" collapsed="false">
      <c r="A18" s="4" t="s">
        <v>69</v>
      </c>
      <c r="B18" s="22" t="n">
        <f aca="false">COUNTIFS(Tasks!B2:B32,"P01",Tasks!G2:G32,"Done")</f>
        <v>2</v>
      </c>
    </row>
    <row r="19" customFormat="false" ht="15" hidden="false" customHeight="false" outlineLevel="0" collapsed="false">
      <c r="A19" s="4" t="s">
        <v>70</v>
      </c>
      <c r="B19" s="22" t="str">
        <f aca="false">INDEX(B2:B9,MATCH(MAX(G2:G9),G2:G9,0))</f>
        <v>Warehouse Automation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30"/>
    <col collapsed="false" customWidth="true" hidden="false" outlineLevel="0" max="4" min="4" style="0" width="11"/>
    <col collapsed="false" customWidth="true" hidden="false" outlineLevel="0" max="5" min="5" style="0" width="15"/>
    <col collapsed="false" customWidth="true" hidden="false" outlineLevel="0" max="6" min="6" style="0" width="14"/>
    <col collapsed="false" customWidth="true" hidden="false" outlineLevel="0" max="7" min="7" style="0" width="13"/>
    <col collapsed="false" customWidth="true" hidden="false" outlineLevel="0" max="8" min="8" style="0" width="10"/>
    <col collapsed="false" customWidth="true" hidden="false" outlineLevel="0" max="9" min="9" style="0" width="20"/>
    <col collapsed="false" customWidth="true" hidden="false" outlineLevel="0" max="10" min="10" style="0" width="15"/>
  </cols>
  <sheetData>
    <row r="1" customFormat="false" ht="15" hidden="false" customHeight="false" outlineLevel="0" collapsed="false">
      <c r="A1" s="8" t="s">
        <v>71</v>
      </c>
      <c r="B1" s="8" t="s">
        <v>11</v>
      </c>
      <c r="C1" s="8" t="s">
        <v>72</v>
      </c>
      <c r="D1" s="8" t="s">
        <v>73</v>
      </c>
      <c r="E1" s="8" t="s">
        <v>74</v>
      </c>
      <c r="F1" s="8" t="s">
        <v>75</v>
      </c>
      <c r="G1" s="8" t="s">
        <v>15</v>
      </c>
      <c r="H1" s="8" t="s">
        <v>76</v>
      </c>
      <c r="I1" s="19" t="s">
        <v>77</v>
      </c>
      <c r="J1" s="19" t="s">
        <v>78</v>
      </c>
    </row>
    <row r="2" customFormat="false" ht="15" hidden="false" customHeight="false" outlineLevel="0" collapsed="false">
      <c r="A2" s="10" t="s">
        <v>79</v>
      </c>
      <c r="B2" s="10" t="s">
        <v>29</v>
      </c>
      <c r="C2" s="10" t="s">
        <v>80</v>
      </c>
      <c r="D2" s="10" t="s">
        <v>81</v>
      </c>
      <c r="E2" s="10" t="n">
        <v>120</v>
      </c>
      <c r="F2" s="10" t="n">
        <v>135</v>
      </c>
      <c r="G2" s="10" t="s">
        <v>82</v>
      </c>
      <c r="H2" s="10" t="s">
        <v>83</v>
      </c>
      <c r="I2" s="23" t="n">
        <f aca="false">(F2-E2)/E2</f>
        <v>0.125</v>
      </c>
      <c r="J2" s="20" t="n">
        <f aca="false">F2*VLOOKUP(H2,Resources!$A$2:$E$11,5,FALSE())</f>
        <v>9450</v>
      </c>
    </row>
    <row r="3" customFormat="false" ht="15" hidden="false" customHeight="false" outlineLevel="0" collapsed="false">
      <c r="A3" s="10" t="s">
        <v>84</v>
      </c>
      <c r="B3" s="10" t="s">
        <v>29</v>
      </c>
      <c r="C3" s="10" t="s">
        <v>85</v>
      </c>
      <c r="D3" s="10" t="s">
        <v>86</v>
      </c>
      <c r="E3" s="10" t="n">
        <v>400</v>
      </c>
      <c r="F3" s="10" t="n">
        <v>380</v>
      </c>
      <c r="G3" s="10" t="s">
        <v>82</v>
      </c>
      <c r="H3" s="10" t="s">
        <v>87</v>
      </c>
      <c r="I3" s="23" t="n">
        <f aca="false">(F3-E3)/E3</f>
        <v>-0.05</v>
      </c>
      <c r="J3" s="20" t="n">
        <f aca="false">F3*VLOOKUP(H3,Resources!$A$2:$E$11,5,FALSE())</f>
        <v>28500</v>
      </c>
    </row>
    <row r="4" customFormat="false" ht="15" hidden="false" customHeight="false" outlineLevel="0" collapsed="false">
      <c r="A4" s="10" t="s">
        <v>88</v>
      </c>
      <c r="B4" s="10" t="s">
        <v>29</v>
      </c>
      <c r="C4" s="10" t="s">
        <v>89</v>
      </c>
      <c r="D4" s="10" t="s">
        <v>86</v>
      </c>
      <c r="E4" s="10" t="n">
        <v>240</v>
      </c>
      <c r="F4" s="10" t="n">
        <v>210</v>
      </c>
      <c r="G4" s="10" t="s">
        <v>33</v>
      </c>
      <c r="H4" s="10" t="s">
        <v>90</v>
      </c>
      <c r="I4" s="23" t="n">
        <f aca="false">(F4-E4)/E4</f>
        <v>-0.125</v>
      </c>
      <c r="J4" s="20" t="n">
        <f aca="false">F4*VLOOKUP(H4,Resources!$A$2:$E$11,5,FALSE())</f>
        <v>16380</v>
      </c>
    </row>
    <row r="5" customFormat="false" ht="15" hidden="false" customHeight="false" outlineLevel="0" collapsed="false">
      <c r="A5" s="10" t="s">
        <v>91</v>
      </c>
      <c r="B5" s="10" t="s">
        <v>29</v>
      </c>
      <c r="C5" s="10" t="s">
        <v>92</v>
      </c>
      <c r="D5" s="10" t="s">
        <v>93</v>
      </c>
      <c r="E5" s="10" t="n">
        <v>160</v>
      </c>
      <c r="F5" s="10" t="n">
        <v>60</v>
      </c>
      <c r="G5" s="10" t="s">
        <v>33</v>
      </c>
      <c r="H5" s="10" t="s">
        <v>94</v>
      </c>
      <c r="I5" s="23" t="n">
        <f aca="false">(F5-E5)/E5</f>
        <v>-0.625</v>
      </c>
      <c r="J5" s="20" t="n">
        <f aca="false">F5*VLOOKUP(H5,Resources!$A$2:$E$11,5,FALSE())</f>
        <v>3720</v>
      </c>
    </row>
    <row r="6" customFormat="false" ht="15" hidden="false" customHeight="false" outlineLevel="0" collapsed="false">
      <c r="A6" s="10" t="s">
        <v>95</v>
      </c>
      <c r="B6" s="10" t="s">
        <v>29</v>
      </c>
      <c r="C6" s="10" t="s">
        <v>96</v>
      </c>
      <c r="D6" s="10" t="s">
        <v>97</v>
      </c>
      <c r="E6" s="10" t="n">
        <v>80</v>
      </c>
      <c r="F6" s="10" t="n">
        <v>0</v>
      </c>
      <c r="G6" s="10" t="s">
        <v>58</v>
      </c>
      <c r="H6" s="10" t="s">
        <v>32</v>
      </c>
      <c r="I6" s="23" t="n">
        <f aca="false">(F6-E6)/E6</f>
        <v>-1</v>
      </c>
      <c r="J6" s="20" t="n">
        <f aca="false">F6*VLOOKUP(H6,Resources!$A$2:$E$11,5,FALSE())</f>
        <v>0</v>
      </c>
    </row>
    <row r="7" customFormat="false" ht="15" hidden="false" customHeight="false" outlineLevel="0" collapsed="false">
      <c r="A7" s="10" t="s">
        <v>98</v>
      </c>
      <c r="B7" s="10" t="s">
        <v>35</v>
      </c>
      <c r="C7" s="10" t="s">
        <v>99</v>
      </c>
      <c r="D7" s="10" t="s">
        <v>81</v>
      </c>
      <c r="E7" s="10" t="n">
        <v>150</v>
      </c>
      <c r="F7" s="10" t="n">
        <v>170</v>
      </c>
      <c r="G7" s="10" t="s">
        <v>82</v>
      </c>
      <c r="H7" s="10" t="s">
        <v>83</v>
      </c>
      <c r="I7" s="23" t="n">
        <f aca="false">(F7-E7)/E7</f>
        <v>0.133333333333333</v>
      </c>
      <c r="J7" s="20" t="n">
        <f aca="false">F7*VLOOKUP(H7,Resources!$A$2:$E$11,5,FALSE())</f>
        <v>11900</v>
      </c>
    </row>
    <row r="8" customFormat="false" ht="15" hidden="false" customHeight="false" outlineLevel="0" collapsed="false">
      <c r="A8" s="10" t="s">
        <v>100</v>
      </c>
      <c r="B8" s="10" t="s">
        <v>35</v>
      </c>
      <c r="C8" s="10" t="s">
        <v>101</v>
      </c>
      <c r="D8" s="10" t="s">
        <v>81</v>
      </c>
      <c r="E8" s="10" t="n">
        <v>200</v>
      </c>
      <c r="F8" s="10" t="n">
        <v>230</v>
      </c>
      <c r="G8" s="10" t="s">
        <v>82</v>
      </c>
      <c r="H8" s="10" t="s">
        <v>90</v>
      </c>
      <c r="I8" s="23" t="n">
        <f aca="false">(F8-E8)/E8</f>
        <v>0.15</v>
      </c>
      <c r="J8" s="20" t="n">
        <f aca="false">F8*VLOOKUP(H8,Resources!$A$2:$E$11,5,FALSE())</f>
        <v>17940</v>
      </c>
    </row>
    <row r="9" customFormat="false" ht="15" hidden="false" customHeight="false" outlineLevel="0" collapsed="false">
      <c r="A9" s="10" t="s">
        <v>102</v>
      </c>
      <c r="B9" s="10" t="s">
        <v>35</v>
      </c>
      <c r="C9" s="10" t="s">
        <v>103</v>
      </c>
      <c r="D9" s="10" t="s">
        <v>86</v>
      </c>
      <c r="E9" s="10" t="n">
        <v>600</v>
      </c>
      <c r="F9" s="10" t="n">
        <v>340</v>
      </c>
      <c r="G9" s="10" t="s">
        <v>33</v>
      </c>
      <c r="H9" s="10" t="s">
        <v>90</v>
      </c>
      <c r="I9" s="23" t="n">
        <f aca="false">(F9-E9)/E9</f>
        <v>-0.433333333333333</v>
      </c>
      <c r="J9" s="20" t="n">
        <f aca="false">F9*VLOOKUP(H9,Resources!$A$2:$E$11,5,FALSE())</f>
        <v>26520</v>
      </c>
    </row>
    <row r="10" customFormat="false" ht="15" hidden="false" customHeight="false" outlineLevel="0" collapsed="false">
      <c r="A10" s="10" t="s">
        <v>104</v>
      </c>
      <c r="B10" s="10" t="s">
        <v>35</v>
      </c>
      <c r="C10" s="10" t="s">
        <v>105</v>
      </c>
      <c r="D10" s="10" t="s">
        <v>86</v>
      </c>
      <c r="E10" s="10" t="n">
        <v>300</v>
      </c>
      <c r="F10" s="10" t="n">
        <v>40</v>
      </c>
      <c r="G10" s="10" t="s">
        <v>33</v>
      </c>
      <c r="H10" s="10" t="s">
        <v>106</v>
      </c>
      <c r="I10" s="23" t="n">
        <f aca="false">(F10-E10)/E10</f>
        <v>-0.866666666666667</v>
      </c>
      <c r="J10" s="20" t="n">
        <f aca="false">F10*VLOOKUP(H10,Resources!$A$2:$E$11,5,FALSE())</f>
        <v>2720</v>
      </c>
    </row>
    <row r="11" customFormat="false" ht="15" hidden="false" customHeight="false" outlineLevel="0" collapsed="false">
      <c r="A11" s="10" t="s">
        <v>107</v>
      </c>
      <c r="B11" s="10" t="s">
        <v>35</v>
      </c>
      <c r="C11" s="10" t="s">
        <v>108</v>
      </c>
      <c r="D11" s="10" t="s">
        <v>93</v>
      </c>
      <c r="E11" s="10" t="n">
        <v>180</v>
      </c>
      <c r="F11" s="10" t="n">
        <v>0</v>
      </c>
      <c r="G11" s="10" t="s">
        <v>58</v>
      </c>
      <c r="H11" s="10" t="s">
        <v>94</v>
      </c>
      <c r="I11" s="23" t="n">
        <f aca="false">(F11-E11)/E11</f>
        <v>-1</v>
      </c>
      <c r="J11" s="20" t="n">
        <f aca="false">F11*VLOOKUP(H11,Resources!$A$2:$E$11,5,FALSE())</f>
        <v>0</v>
      </c>
    </row>
    <row r="12" customFormat="false" ht="15" hidden="false" customHeight="false" outlineLevel="0" collapsed="false">
      <c r="A12" s="10" t="s">
        <v>109</v>
      </c>
      <c r="B12" s="10" t="s">
        <v>38</v>
      </c>
      <c r="C12" s="10" t="s">
        <v>110</v>
      </c>
      <c r="D12" s="10" t="s">
        <v>81</v>
      </c>
      <c r="E12" s="10" t="n">
        <v>90</v>
      </c>
      <c r="F12" s="10" t="n">
        <v>100</v>
      </c>
      <c r="G12" s="10" t="s">
        <v>82</v>
      </c>
      <c r="H12" s="10" t="s">
        <v>83</v>
      </c>
      <c r="I12" s="23" t="n">
        <f aca="false">(F12-E12)/E12</f>
        <v>0.111111111111111</v>
      </c>
      <c r="J12" s="20" t="n">
        <f aca="false">F12*VLOOKUP(H12,Resources!$A$2:$E$11,5,FALSE())</f>
        <v>7000</v>
      </c>
    </row>
    <row r="13" customFormat="false" ht="15" hidden="false" customHeight="false" outlineLevel="0" collapsed="false">
      <c r="A13" s="10" t="s">
        <v>111</v>
      </c>
      <c r="B13" s="10" t="s">
        <v>38</v>
      </c>
      <c r="C13" s="10" t="s">
        <v>112</v>
      </c>
      <c r="D13" s="10" t="s">
        <v>86</v>
      </c>
      <c r="E13" s="10" t="n">
        <v>320</v>
      </c>
      <c r="F13" s="10" t="n">
        <v>365</v>
      </c>
      <c r="G13" s="10" t="s">
        <v>82</v>
      </c>
      <c r="H13" s="10" t="s">
        <v>87</v>
      </c>
      <c r="I13" s="23" t="n">
        <f aca="false">(F13-E13)/E13</f>
        <v>0.140625</v>
      </c>
      <c r="J13" s="20" t="n">
        <f aca="false">F13*VLOOKUP(H13,Resources!$A$2:$E$11,5,FALSE())</f>
        <v>27375</v>
      </c>
    </row>
    <row r="14" customFormat="false" ht="15" hidden="false" customHeight="false" outlineLevel="0" collapsed="false">
      <c r="A14" s="10" t="s">
        <v>113</v>
      </c>
      <c r="B14" s="10" t="s">
        <v>38</v>
      </c>
      <c r="C14" s="10" t="s">
        <v>114</v>
      </c>
      <c r="D14" s="10" t="s">
        <v>93</v>
      </c>
      <c r="E14" s="10" t="n">
        <v>110</v>
      </c>
      <c r="F14" s="10" t="n">
        <v>120</v>
      </c>
      <c r="G14" s="10" t="s">
        <v>82</v>
      </c>
      <c r="H14" s="10" t="s">
        <v>94</v>
      </c>
      <c r="I14" s="23" t="n">
        <f aca="false">(F14-E14)/E14</f>
        <v>0.0909090909090909</v>
      </c>
      <c r="J14" s="20" t="n">
        <f aca="false">F14*VLOOKUP(H14,Resources!$A$2:$E$11,5,FALSE())</f>
        <v>7440</v>
      </c>
    </row>
    <row r="15" customFormat="false" ht="15" hidden="false" customHeight="false" outlineLevel="0" collapsed="false">
      <c r="A15" s="10" t="s">
        <v>115</v>
      </c>
      <c r="B15" s="10" t="s">
        <v>44</v>
      </c>
      <c r="C15" s="10" t="s">
        <v>116</v>
      </c>
      <c r="D15" s="10" t="s">
        <v>81</v>
      </c>
      <c r="E15" s="10" t="n">
        <v>160</v>
      </c>
      <c r="F15" s="10" t="n">
        <v>150</v>
      </c>
      <c r="G15" s="10" t="s">
        <v>82</v>
      </c>
      <c r="H15" s="10" t="s">
        <v>37</v>
      </c>
      <c r="I15" s="23" t="n">
        <f aca="false">(F15-E15)/E15</f>
        <v>-0.0625</v>
      </c>
      <c r="J15" s="20" t="n">
        <f aca="false">F15*VLOOKUP(H15,Resources!$A$2:$E$11,5,FALSE())</f>
        <v>13500</v>
      </c>
    </row>
    <row r="16" customFormat="false" ht="15" hidden="false" customHeight="false" outlineLevel="0" collapsed="false">
      <c r="A16" s="10" t="s">
        <v>117</v>
      </c>
      <c r="B16" s="10" t="s">
        <v>44</v>
      </c>
      <c r="C16" s="10" t="s">
        <v>118</v>
      </c>
      <c r="D16" s="10" t="s">
        <v>86</v>
      </c>
      <c r="E16" s="10" t="n">
        <v>800</v>
      </c>
      <c r="F16" s="10" t="n">
        <v>420</v>
      </c>
      <c r="G16" s="10" t="s">
        <v>33</v>
      </c>
      <c r="H16" s="10" t="s">
        <v>54</v>
      </c>
      <c r="I16" s="23" t="n">
        <f aca="false">(F16-E16)/E16</f>
        <v>-0.475</v>
      </c>
      <c r="J16" s="20" t="n">
        <f aca="false">F16*VLOOKUP(H16,Resources!$A$2:$E$11,5,FALSE())</f>
        <v>23100</v>
      </c>
    </row>
    <row r="17" customFormat="false" ht="15" hidden="false" customHeight="false" outlineLevel="0" collapsed="false">
      <c r="A17" s="10" t="s">
        <v>119</v>
      </c>
      <c r="B17" s="10" t="s">
        <v>44</v>
      </c>
      <c r="C17" s="10" t="s">
        <v>120</v>
      </c>
      <c r="D17" s="10" t="s">
        <v>86</v>
      </c>
      <c r="E17" s="10" t="n">
        <v>500</v>
      </c>
      <c r="F17" s="10" t="n">
        <v>150</v>
      </c>
      <c r="G17" s="10" t="s">
        <v>121</v>
      </c>
      <c r="H17" s="10" t="s">
        <v>87</v>
      </c>
      <c r="I17" s="23" t="n">
        <f aca="false">(F17-E17)/E17</f>
        <v>-0.7</v>
      </c>
      <c r="J17" s="20" t="n">
        <f aca="false">F17*VLOOKUP(H17,Resources!$A$2:$E$11,5,FALSE())</f>
        <v>11250</v>
      </c>
    </row>
    <row r="18" customFormat="false" ht="15" hidden="false" customHeight="false" outlineLevel="0" collapsed="false">
      <c r="A18" s="10" t="s">
        <v>122</v>
      </c>
      <c r="B18" s="10" t="s">
        <v>44</v>
      </c>
      <c r="C18" s="10" t="s">
        <v>123</v>
      </c>
      <c r="D18" s="10" t="s">
        <v>93</v>
      </c>
      <c r="E18" s="10" t="n">
        <v>120</v>
      </c>
      <c r="F18" s="10" t="n">
        <v>0</v>
      </c>
      <c r="G18" s="10" t="s">
        <v>58</v>
      </c>
      <c r="H18" s="10" t="s">
        <v>94</v>
      </c>
      <c r="I18" s="23" t="n">
        <f aca="false">(F18-E18)/E18</f>
        <v>-1</v>
      </c>
      <c r="J18" s="20" t="n">
        <f aca="false">F18*VLOOKUP(H18,Resources!$A$2:$E$11,5,FALSE())</f>
        <v>0</v>
      </c>
    </row>
    <row r="19" customFormat="false" ht="15" hidden="false" customHeight="false" outlineLevel="0" collapsed="false">
      <c r="A19" s="10" t="s">
        <v>124</v>
      </c>
      <c r="B19" s="10" t="s">
        <v>44</v>
      </c>
      <c r="C19" s="10" t="s">
        <v>125</v>
      </c>
      <c r="D19" s="10" t="s">
        <v>97</v>
      </c>
      <c r="E19" s="10" t="n">
        <v>90</v>
      </c>
      <c r="F19" s="10" t="n">
        <v>0</v>
      </c>
      <c r="G19" s="10" t="s">
        <v>58</v>
      </c>
      <c r="H19" s="10" t="s">
        <v>37</v>
      </c>
      <c r="I19" s="23" t="n">
        <f aca="false">(F19-E19)/E19</f>
        <v>-1</v>
      </c>
      <c r="J19" s="20" t="n">
        <f aca="false">F19*VLOOKUP(H19,Resources!$A$2:$E$11,5,FALSE())</f>
        <v>0</v>
      </c>
    </row>
    <row r="20" customFormat="false" ht="15" hidden="false" customHeight="false" outlineLevel="0" collapsed="false">
      <c r="A20" s="10" t="s">
        <v>126</v>
      </c>
      <c r="B20" s="10" t="s">
        <v>47</v>
      </c>
      <c r="C20" s="10" t="s">
        <v>127</v>
      </c>
      <c r="D20" s="10" t="s">
        <v>81</v>
      </c>
      <c r="E20" s="10" t="n">
        <v>60</v>
      </c>
      <c r="F20" s="10" t="n">
        <v>55</v>
      </c>
      <c r="G20" s="10" t="s">
        <v>82</v>
      </c>
      <c r="H20" s="10" t="s">
        <v>106</v>
      </c>
      <c r="I20" s="23" t="n">
        <f aca="false">(F20-E20)/E20</f>
        <v>-0.0833333333333333</v>
      </c>
      <c r="J20" s="20" t="n">
        <f aca="false">F20*VLOOKUP(H20,Resources!$A$2:$E$11,5,FALSE())</f>
        <v>3740</v>
      </c>
    </row>
    <row r="21" customFormat="false" ht="15" hidden="false" customHeight="false" outlineLevel="0" collapsed="false">
      <c r="A21" s="10" t="s">
        <v>128</v>
      </c>
      <c r="B21" s="10" t="s">
        <v>47</v>
      </c>
      <c r="C21" s="10" t="s">
        <v>129</v>
      </c>
      <c r="D21" s="10" t="s">
        <v>86</v>
      </c>
      <c r="E21" s="10" t="n">
        <v>200</v>
      </c>
      <c r="F21" s="10" t="n">
        <v>190</v>
      </c>
      <c r="G21" s="10" t="s">
        <v>82</v>
      </c>
      <c r="H21" s="10" t="s">
        <v>90</v>
      </c>
      <c r="I21" s="23" t="n">
        <f aca="false">(F21-E21)/E21</f>
        <v>-0.05</v>
      </c>
      <c r="J21" s="20" t="n">
        <f aca="false">F21*VLOOKUP(H21,Resources!$A$2:$E$11,5,FALSE())</f>
        <v>14820</v>
      </c>
    </row>
    <row r="22" customFormat="false" ht="15" hidden="false" customHeight="false" outlineLevel="0" collapsed="false">
      <c r="A22" s="10" t="s">
        <v>130</v>
      </c>
      <c r="B22" s="10" t="s">
        <v>47</v>
      </c>
      <c r="C22" s="10" t="s">
        <v>131</v>
      </c>
      <c r="D22" s="10" t="s">
        <v>86</v>
      </c>
      <c r="E22" s="10" t="n">
        <v>180</v>
      </c>
      <c r="F22" s="10" t="n">
        <v>120</v>
      </c>
      <c r="G22" s="10" t="s">
        <v>33</v>
      </c>
      <c r="H22" s="10" t="s">
        <v>106</v>
      </c>
      <c r="I22" s="23" t="n">
        <f aca="false">(F22-E22)/E22</f>
        <v>-0.333333333333333</v>
      </c>
      <c r="J22" s="20" t="n">
        <f aca="false">F22*VLOOKUP(H22,Resources!$A$2:$E$11,5,FALSE())</f>
        <v>8160</v>
      </c>
    </row>
    <row r="23" customFormat="false" ht="15" hidden="false" customHeight="false" outlineLevel="0" collapsed="false">
      <c r="A23" s="10" t="s">
        <v>132</v>
      </c>
      <c r="B23" s="10" t="s">
        <v>47</v>
      </c>
      <c r="C23" s="10" t="s">
        <v>133</v>
      </c>
      <c r="D23" s="10" t="s">
        <v>97</v>
      </c>
      <c r="E23" s="10" t="n">
        <v>40</v>
      </c>
      <c r="F23" s="10" t="n">
        <v>0</v>
      </c>
      <c r="G23" s="10" t="s">
        <v>58</v>
      </c>
      <c r="H23" s="10" t="s">
        <v>50</v>
      </c>
      <c r="I23" s="23" t="n">
        <f aca="false">(F23-E23)/E23</f>
        <v>-1</v>
      </c>
      <c r="J23" s="20" t="n">
        <f aca="false">F23*VLOOKUP(H23,Resources!$A$2:$E$11,5,FALSE())</f>
        <v>0</v>
      </c>
    </row>
    <row r="24" customFormat="false" ht="15" hidden="false" customHeight="false" outlineLevel="0" collapsed="false">
      <c r="A24" s="10" t="s">
        <v>134</v>
      </c>
      <c r="B24" s="10" t="s">
        <v>51</v>
      </c>
      <c r="C24" s="10" t="s">
        <v>135</v>
      </c>
      <c r="D24" s="10" t="s">
        <v>81</v>
      </c>
      <c r="E24" s="10" t="n">
        <v>80</v>
      </c>
      <c r="F24" s="10" t="n">
        <v>95</v>
      </c>
      <c r="G24" s="10" t="s">
        <v>82</v>
      </c>
      <c r="H24" s="10" t="s">
        <v>54</v>
      </c>
      <c r="I24" s="23" t="n">
        <f aca="false">(F24-E24)/E24</f>
        <v>0.1875</v>
      </c>
      <c r="J24" s="20" t="n">
        <f aca="false">F24*VLOOKUP(H24,Resources!$A$2:$E$11,5,FALSE())</f>
        <v>5225</v>
      </c>
    </row>
    <row r="25" customFormat="false" ht="15" hidden="false" customHeight="false" outlineLevel="0" collapsed="false">
      <c r="A25" s="10" t="s">
        <v>136</v>
      </c>
      <c r="B25" s="10" t="s">
        <v>51</v>
      </c>
      <c r="C25" s="10" t="s">
        <v>137</v>
      </c>
      <c r="D25" s="10" t="s">
        <v>86</v>
      </c>
      <c r="E25" s="10" t="n">
        <v>300</v>
      </c>
      <c r="F25" s="10" t="n">
        <v>210</v>
      </c>
      <c r="G25" s="10" t="s">
        <v>121</v>
      </c>
      <c r="H25" s="10" t="s">
        <v>54</v>
      </c>
      <c r="I25" s="23" t="n">
        <f aca="false">(F25-E25)/E25</f>
        <v>-0.3</v>
      </c>
      <c r="J25" s="20" t="n">
        <f aca="false">F25*VLOOKUP(H25,Resources!$A$2:$E$11,5,FALSE())</f>
        <v>11550</v>
      </c>
    </row>
    <row r="26" customFormat="false" ht="15" hidden="false" customHeight="false" outlineLevel="0" collapsed="false">
      <c r="A26" s="10" t="s">
        <v>138</v>
      </c>
      <c r="B26" s="10" t="s">
        <v>51</v>
      </c>
      <c r="C26" s="10" t="s">
        <v>139</v>
      </c>
      <c r="D26" s="10" t="s">
        <v>86</v>
      </c>
      <c r="E26" s="10" t="n">
        <v>120</v>
      </c>
      <c r="F26" s="10" t="n">
        <v>0</v>
      </c>
      <c r="G26" s="10" t="s">
        <v>58</v>
      </c>
      <c r="H26" s="10" t="s">
        <v>87</v>
      </c>
      <c r="I26" s="23" t="n">
        <f aca="false">(F26-E26)/E26</f>
        <v>-1</v>
      </c>
      <c r="J26" s="20" t="n">
        <f aca="false">F26*VLOOKUP(H26,Resources!$A$2:$E$11,5,FALSE())</f>
        <v>0</v>
      </c>
    </row>
    <row r="27" customFormat="false" ht="15" hidden="false" customHeight="false" outlineLevel="0" collapsed="false">
      <c r="A27" s="10" t="s">
        <v>140</v>
      </c>
      <c r="B27" s="10" t="s">
        <v>51</v>
      </c>
      <c r="C27" s="10" t="s">
        <v>141</v>
      </c>
      <c r="D27" s="10" t="s">
        <v>97</v>
      </c>
      <c r="E27" s="10" t="n">
        <v>60</v>
      </c>
      <c r="F27" s="10" t="n">
        <v>0</v>
      </c>
      <c r="G27" s="10" t="s">
        <v>58</v>
      </c>
      <c r="H27" s="10" t="s">
        <v>54</v>
      </c>
      <c r="I27" s="23" t="n">
        <f aca="false">(F27-E27)/E27</f>
        <v>-1</v>
      </c>
      <c r="J27" s="20" t="n">
        <f aca="false">F27*VLOOKUP(H27,Resources!$A$2:$E$11,5,FALSE())</f>
        <v>0</v>
      </c>
    </row>
    <row r="28" customFormat="false" ht="15" hidden="false" customHeight="false" outlineLevel="0" collapsed="false">
      <c r="A28" s="10" t="s">
        <v>142</v>
      </c>
      <c r="B28" s="10" t="s">
        <v>56</v>
      </c>
      <c r="C28" s="10" t="s">
        <v>143</v>
      </c>
      <c r="D28" s="10" t="s">
        <v>81</v>
      </c>
      <c r="E28" s="10" t="n">
        <v>100</v>
      </c>
      <c r="F28" s="10" t="n">
        <v>0</v>
      </c>
      <c r="G28" s="10" t="s">
        <v>58</v>
      </c>
      <c r="H28" s="10" t="s">
        <v>83</v>
      </c>
      <c r="I28" s="23" t="n">
        <f aca="false">(F28-E28)/E28</f>
        <v>-1</v>
      </c>
      <c r="J28" s="20" t="n">
        <f aca="false">F28*VLOOKUP(H28,Resources!$A$2:$E$11,5,FALSE())</f>
        <v>0</v>
      </c>
    </row>
    <row r="29" customFormat="false" ht="15" hidden="false" customHeight="false" outlineLevel="0" collapsed="false">
      <c r="A29" s="10" t="s">
        <v>144</v>
      </c>
      <c r="B29" s="10" t="s">
        <v>56</v>
      </c>
      <c r="C29" s="10" t="s">
        <v>145</v>
      </c>
      <c r="D29" s="10" t="s">
        <v>86</v>
      </c>
      <c r="E29" s="10" t="n">
        <v>150</v>
      </c>
      <c r="F29" s="10" t="n">
        <v>0</v>
      </c>
      <c r="G29" s="10" t="s">
        <v>58</v>
      </c>
      <c r="H29" s="10" t="s">
        <v>32</v>
      </c>
      <c r="I29" s="23" t="n">
        <f aca="false">(F29-E29)/E29</f>
        <v>-1</v>
      </c>
      <c r="J29" s="20" t="n">
        <f aca="false">F29*VLOOKUP(H29,Resources!$A$2:$E$11,5,FALSE())</f>
        <v>0</v>
      </c>
    </row>
    <row r="30" customFormat="false" ht="15" hidden="false" customHeight="false" outlineLevel="0" collapsed="false">
      <c r="A30" s="10" t="s">
        <v>146</v>
      </c>
      <c r="B30" s="10" t="s">
        <v>60</v>
      </c>
      <c r="C30" s="10" t="s">
        <v>147</v>
      </c>
      <c r="D30" s="10" t="s">
        <v>81</v>
      </c>
      <c r="E30" s="10" t="n">
        <v>70</v>
      </c>
      <c r="F30" s="10" t="n">
        <v>65</v>
      </c>
      <c r="G30" s="10" t="s">
        <v>82</v>
      </c>
      <c r="H30" s="10" t="s">
        <v>83</v>
      </c>
      <c r="I30" s="23" t="n">
        <f aca="false">(F30-E30)/E30</f>
        <v>-0.0714285714285714</v>
      </c>
      <c r="J30" s="20" t="n">
        <f aca="false">F30*VLOOKUP(H30,Resources!$A$2:$E$11,5,FALSE())</f>
        <v>4550</v>
      </c>
    </row>
    <row r="31" customFormat="false" ht="15" hidden="false" customHeight="false" outlineLevel="0" collapsed="false">
      <c r="A31" s="10" t="s">
        <v>148</v>
      </c>
      <c r="B31" s="10" t="s">
        <v>60</v>
      </c>
      <c r="C31" s="10" t="s">
        <v>149</v>
      </c>
      <c r="D31" s="10" t="s">
        <v>86</v>
      </c>
      <c r="E31" s="10" t="n">
        <v>260</v>
      </c>
      <c r="F31" s="10" t="n">
        <v>250</v>
      </c>
      <c r="G31" s="10" t="s">
        <v>82</v>
      </c>
      <c r="H31" s="10" t="s">
        <v>87</v>
      </c>
      <c r="I31" s="23" t="n">
        <f aca="false">(F31-E31)/E31</f>
        <v>-0.0384615384615385</v>
      </c>
      <c r="J31" s="20" t="n">
        <f aca="false">F31*VLOOKUP(H31,Resources!$A$2:$E$11,5,FALSE())</f>
        <v>18750</v>
      </c>
    </row>
    <row r="32" customFormat="false" ht="15" hidden="false" customHeight="false" outlineLevel="0" collapsed="false">
      <c r="A32" s="10" t="s">
        <v>150</v>
      </c>
      <c r="B32" s="10" t="s">
        <v>60</v>
      </c>
      <c r="C32" s="10" t="s">
        <v>151</v>
      </c>
      <c r="D32" s="10" t="s">
        <v>97</v>
      </c>
      <c r="E32" s="10" t="n">
        <v>50</v>
      </c>
      <c r="F32" s="10" t="n">
        <v>48</v>
      </c>
      <c r="G32" s="10" t="s">
        <v>82</v>
      </c>
      <c r="H32" s="10" t="s">
        <v>50</v>
      </c>
      <c r="I32" s="23" t="n">
        <f aca="false">(F32-E32)/E32</f>
        <v>-0.04</v>
      </c>
      <c r="J32" s="20" t="n">
        <f aca="false">F32*VLOOKUP(H32,Resources!$A$2:$E$11,5,FALSE())</f>
        <v>3936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2026-10-14T15:09:23Z</dcterms:created>
  <dc:creator>openpyxl</dc:creator>
  <dc:description/>
  <dc:language>en-US</dc:language>
  <cp:lastModifiedBy/>
  <dcterms:modified xsi:type="dcterms:W3CDTF">2026-10-14T15:09:24Z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